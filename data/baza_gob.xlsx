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worksheets/sheet4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 defaultThemeVersion="153222"/>
  <bookViews>
    <workbookView xWindow="0" yWindow="0" windowWidth="0" windowHeight="0" activeTab="1"/>
  </bookViews>
  <sheets>
    <sheet name="Uvod in Legenda" sheetId="1" r:id="rId1"/>
    <sheet name="Baza Gob" sheetId="2" r:id="rId2"/>
    <sheet name="Analitika" sheetId="3" r:id="rId3"/>
    <sheet name="Lokacije_Zg_Savinjska" sheetId="4" r:id="rId4"/>
  </sheets>
  <definedNames>
    <definedName name="_xlnm._FilterDatabase" localSheetId="1" hidden="1">'Baza Gob'!$A$1:$S$52</definedName>
  </definedNames>
  <calcPr fullCalcOnLoad="1" calcId="124519"/>
</workbook>
</file>

<file path=xl/sharedStrings.xml><?xml version="1.0" encoding="utf-8"?>
<sst xmlns="http://schemas.openxmlformats.org/spreadsheetml/2006/main" uniqueCount="685" count="685">
  <si>
    <t>Baza Gob Slovenije (50 najpogostejših in priljubljenih vrst)</t>
  </si>
  <si>
    <t>Podrobna interaktivna preglednica s ključnimi ekološkimi, kulinaričnimi in varnostnimi podatki.</t>
  </si>
  <si>
    <t>Navodila za uporabo:</t>
  </si>
  <si>
    <t>1. Preglednica vsebuje 50 najbolj opaznih, pogostih, priljubljenih in tudi nevarnih gob v Sloveniji.</t>
  </si>
  <si>
    <t>2. V zavihku 'Baza Gob' lahko uporabite filtre (puščice v glavi tabele) za filtriranje po užitnosti, času rasti, mikoriznem partnerju itd.</t>
  </si>
  <si>
    <t>3. Stolpec 'Nevarnost zamenjave (Dvojnice)' vsebuje ključne razlike, ki preprečujejo usodne napake pri nabiranju.</t>
  </si>
  <si>
    <t>4. Zavihek 'Analitika' prikazuje statistično porazdelitev vrst glede na njihovo užitnost in grafični prikaz.</t>
  </si>
  <si>
    <t>5. OPOZORILO: Podatki v tej tabeli so informativne narave. Nikoli ne uživajte gob, ki jih 100 % ne prepoznate sami ali s pomočjo determinatorja!</t>
  </si>
  <si>
    <t>Legenda barvnih oznak za užitnost:</t>
  </si>
  <si>
    <t>Kategorija</t>
  </si>
  <si>
    <t>Pomen in navodila</t>
  </si>
  <si>
    <t>Užitna</t>
  </si>
  <si>
    <t>Goba je varna za kulinarično uporabo (ob primerni pripravi).</t>
  </si>
  <si>
    <t>Pogojno užitna</t>
  </si>
  <si>
    <t>Surova je strupena ali težko prebavljiva. Zahteva temeljito toplotno obdelavo (kuhanje).</t>
  </si>
  <si>
    <t>Neužitna</t>
  </si>
  <si>
    <t>Goba ni strupena, vendar je zaradi grenkobe, trdote ali slabega vonja neprimerna za prehrano.</t>
  </si>
  <si>
    <t>Strupena / Zelo strupena</t>
  </si>
  <si>
    <t>Povzroča blažje do resne prebavne težave, halucinacije ali druge zaplete.</t>
  </si>
  <si>
    <t>Smrtno strupena</t>
  </si>
  <si>
    <t>Vsebuje toksine (npr. amatoksin, giromitrin), ki povzročijo odpoved organov in smrt.</t>
  </si>
  <si>
    <t>ZAŠČITENA</t>
  </si>
  <si>
    <t>Goba je na rdečem seznamu RS. Nabiranje je zakonsko prepovedano in kaznivo.</t>
  </si>
  <si>
    <t>Slovensko ime</t>
  </si>
  <si>
    <t>Znanstveno ime</t>
  </si>
  <si>
    <t>Užitnost</t>
  </si>
  <si>
    <t>Čas rasti</t>
  </si>
  <si>
    <t>Temp. prag (zrak)</t>
  </si>
  <si>
    <t>Mikorizni partner</t>
  </si>
  <si>
    <t>Tip rastišča (Prehranjevanje)</t>
  </si>
  <si>
    <t>Tip tal (pH vrednost)</t>
  </si>
  <si>
    <t>Nevarnost zamenjave (Dvojnice)</t>
  </si>
  <si>
    <t>Vonj in okus</t>
  </si>
  <si>
    <t>Sprememba barve mesa ob poškodbi</t>
  </si>
  <si>
    <t>Shranjevanje in priprava</t>
  </si>
  <si>
    <t>Višinski pas in značilna območja</t>
  </si>
  <si>
    <t>Pogostost v Zgornji savinjski</t>
  </si>
  <si>
    <t>Geološki mikro-teren (Zg. Savinjska)</t>
  </si>
  <si>
    <t>Minimalna kumulativna vlaga (7 dni, mm)</t>
  </si>
  <si>
    <t>Optimalni temperaturni pas (°C)</t>
  </si>
  <si>
    <t>Vpliv vetra/izsušitve</t>
  </si>
  <si>
    <t>Gobarski indeks (Izračun)</t>
  </si>
  <si>
    <t>Jesenski goban (Jurček)</t>
  </si>
  <si>
    <t>Boletus edulis</t>
  </si>
  <si>
    <t>Sep – Nov</t>
  </si>
  <si>
    <t>8 – 15 °C</t>
  </si>
  <si>
    <t>Smreka, bukev, bor, hrast</t>
  </si>
  <si>
    <t>Mikoriza; v tleh v iglastih in mešanih gozdovih</t>
  </si>
  <si>
    <t>Kisla do nevtralna tla</t>
  </si>
  <si>
    <t>Žolčasti goban (Tylopilus felleus) – neužiten; loči se po izrazito grenkem okusu in rožnati trosovnici.</t>
  </si>
  <si>
    <t>Prijeten po gobah, sladek</t>
  </si>
  <si>
    <t>Meso je čvrsto belo in ne spreminja barve.</t>
  </si>
  <si>
    <t>Odličen za sušenje, zamrzovanje, juhe, žar.</t>
  </si>
  <si>
    <t>Vse višine, zelo pogost v predalpskih dolinah (npr. Zgornja savinjska) in na Pokljuki.</t>
  </si>
  <si>
    <t>Zelo pogost. Masovno nabiran v iglastih gozdovih po vsej dolini, zlasti ob jesenskih ohladitvah.</t>
  </si>
  <si>
    <t>Smrekovško pogorje (kisla vulkanska tla, silikati). Odlično zadržuje vlago.</t>
  </si>
  <si>
    <t>25-35</t>
  </si>
  <si>
    <t>12-22</t>
  </si>
  <si>
    <t>Srednji</t>
  </si>
  <si>
    <t>Poletni goban</t>
  </si>
  <si>
    <t>Boletus reticulatus</t>
  </si>
  <si>
    <t>Maj – Sep</t>
  </si>
  <si>
    <t>18 – 24 °C</t>
  </si>
  <si>
    <t>Hrast, bukev, gaber, kostanj</t>
  </si>
  <si>
    <t>Mikoriza; v tleh v toplih listnatih gozdovih</t>
  </si>
  <si>
    <t>Nevtralna do bazična (apnenčasta) tla</t>
  </si>
  <si>
    <t>Žolčasti goban (Tylopilus felleus) – neužiten; loči se po izrazito grenkem okusu in mrežici na betu.</t>
  </si>
  <si>
    <t>Prijeten, izrazito sladek okus</t>
  </si>
  <si>
    <t>Meso ostane belo, pod kožico klobuka rahlo rjavo.</t>
  </si>
  <si>
    <t>Sušenje (ojača aromo), zamrzovanje, sveže.</t>
  </si>
  <si>
    <t>Pretežno nižine in toplejša gričevja (Kras, Dolenjska, Goričko).</t>
  </si>
  <si>
    <t>Manj pogost v alpskem delu, a prisoten v nižjih, listnatih mešanih gozdovih okoli Mozirja in Rečice.</t>
  </si>
  <si>
    <t>Golte, Menina planina in toplejši listnati obronki (apnenec, bazična tla). Tla se hitreje sušijo.</t>
  </si>
  <si>
    <t>Borov goban</t>
  </si>
  <si>
    <t>Boletus pinophilus</t>
  </si>
  <si>
    <t>Maj – Nov</t>
  </si>
  <si>
    <t>8 – 14 °C</t>
  </si>
  <si>
    <t>Bor, smreka, bukev</t>
  </si>
  <si>
    <t>Mikoriza; v tleh v gorskih iglastih gozdovih, v mahu</t>
  </si>
  <si>
    <t>Izrazito kisla tla (igličevje, borovnice)</t>
  </si>
  <si>
    <t>Žolčasti goban (Tylopilus felleus) – neužiten, grenak okus. Druge vrste užitnih gobanov.</t>
  </si>
  <si>
    <t>Zelo prijeten, oreškast</t>
  </si>
  <si>
    <t>Ne spreminja barve, meso je rdečkasto neposredno pod kožico.</t>
  </si>
  <si>
    <t>Sušenje, vlaganje, zamrzovanje.</t>
  </si>
  <si>
    <t>Višje in gorske lege (Pohorje, Karavanke).</t>
  </si>
  <si>
    <t>Zelo pogost v višjih gorskih legah doline (npr. pobočja Smrekovca, Golte).</t>
  </si>
  <si>
    <t>Smrekovško pogorje, višje kisle lege pod iglavci.</t>
  </si>
  <si>
    <t>Črni goban</t>
  </si>
  <si>
    <t>Boletus aereus</t>
  </si>
  <si>
    <t>Jun – Okt</t>
  </si>
  <si>
    <t>20 – 26 °C</t>
  </si>
  <si>
    <t>Hrast, pitni kostanj</t>
  </si>
  <si>
    <t>Mikoriza; v tleh v toploljubnih listnatih gozdovih</t>
  </si>
  <si>
    <t>Ni nevarnih neposrednih dvojnic zaradi zelo temnega klobuka in čvrstega, nespremenljivega belega mesa.</t>
  </si>
  <si>
    <t>Izjemno aromatičen, prijeten</t>
  </si>
  <si>
    <t>Meso je snežno belo in nespremenljivo.</t>
  </si>
  <si>
    <t>Sušenje, pečenje, carpaccio.</t>
  </si>
  <si>
    <t>Toploljubne lege, predvsem slovenska Istra, Kras, Vipavska dolina.</t>
  </si>
  <si>
    <t>Redek ali povsem odsoten, saj mu predalpska klima in kisla tla večinoma ne ustrezata.</t>
  </si>
  <si>
    <t>Če že raste, izključno na toplejših apnenčastih tleh nižjih leg.</t>
  </si>
  <si>
    <t>Žametasti goban</t>
  </si>
  <si>
    <t>Neoboletus erythropus</t>
  </si>
  <si>
    <t>12 – 20 °C</t>
  </si>
  <si>
    <t>Smreka, bukev, hrast</t>
  </si>
  <si>
    <t>Mikoriza; v tleh. Surova strupena, obvezno kuhati 15-20 min</t>
  </si>
  <si>
    <t>Kisla tla</t>
  </si>
  <si>
    <t>Vražji goban (Rubroboletus satanas) – strupen; loči se po zelo svetlem (sivem) klobuku in rasti na apnencu.</t>
  </si>
  <si>
    <t>Neizrazit, rahlo kiselkast</t>
  </si>
  <si>
    <t>Na prerezu v nekaj sekundah močno in intenzivno pomodri.</t>
  </si>
  <si>
    <t>Surov je strupen! Zahteva 15–20 min močnega vrenja ali pečenja.</t>
  </si>
  <si>
    <t>Hribovja in gorski gozdovi po vsej Sloveniji.</t>
  </si>
  <si>
    <t>Izjemno pogost v gorskih smrekovih gozdovih; priljubljen pri lokalnih poznavalcih.</t>
  </si>
  <si>
    <t>Smrekovško pogorje in višja kisla pobočja.</t>
  </si>
  <si>
    <t>20-30</t>
  </si>
  <si>
    <t>10-20</t>
  </si>
  <si>
    <t>Kostanjevka</t>
  </si>
  <si>
    <t>Imleria badia</t>
  </si>
  <si>
    <t>Jun – Nov</t>
  </si>
  <si>
    <t>10 – 17 °C</t>
  </si>
  <si>
    <t>Smreka, rdeči bor</t>
  </si>
  <si>
    <t>Mikoriza; v tleh, pogosto raste neposredno v mahu</t>
  </si>
  <si>
    <t>Kisle gozdne talne razmere</t>
  </si>
  <si>
    <t>Žolčasti goban (Tylopilus felleus) – neužiten, grenak. Kostanjevka močno pomodri na cevkatem delu ob pritisku.</t>
  </si>
  <si>
    <t>Prijeten, rahlo saden</t>
  </si>
  <si>
    <t>Rumena trosovnica (luknjice) na pritisk takoj zeleno-modro potemni.</t>
  </si>
  <si>
    <t>Sušenje, zamrzovanje, mešane jedi.</t>
  </si>
  <si>
    <t>Hriboviti in predalpski predeli (Savinjske Alpe, Pohorje).</t>
  </si>
  <si>
    <t>Zelo pogosta po vseh smrekovih sestojih v dolini; obilno raste v mahu.</t>
  </si>
  <si>
    <t>Smrekovško pogorje, izrazito uspeva na kislih tleh z mahom in borovničevjem.</t>
  </si>
  <si>
    <t>Rdečebetka</t>
  </si>
  <si>
    <t>Xerocomellus chrysenteron</t>
  </si>
  <si>
    <t>Smreka, bukev, bor</t>
  </si>
  <si>
    <t>Mikoriza; v tleh, na robovih gozdov, v parkih in jarkih</t>
  </si>
  <si>
    <t>Sorodni polstenci (npr. rdečeči polstenec), ki so prav tako večinoma užitni.</t>
  </si>
  <si>
    <t>Neizrazit</t>
  </si>
  <si>
    <t>Meso rahlo pomodri ali na določenih mestih pordeči.</t>
  </si>
  <si>
    <t>Mešane jedi, hitra sveža priprava (hitro se kvari).</t>
  </si>
  <si>
    <t>Pogost povsod od ravnin do gora.</t>
  </si>
  <si>
    <t>Pogosta na obronkih gozdov in ob poteh.</t>
  </si>
  <si>
    <t>Prehodna območja, prisotna tako na kislih kot nevtralnih tleh.</t>
  </si>
  <si>
    <t>Macesnova lupljivka</t>
  </si>
  <si>
    <t>Suillus grevillei</t>
  </si>
  <si>
    <t>10 – 18 °C</t>
  </si>
  <si>
    <t>Izključno macesen (Larix)</t>
  </si>
  <si>
    <t>Mikoriza; na tleh pod macesni. Pred uporabo olupiti sluzasto kožico klobuka</t>
  </si>
  <si>
    <t>Nevtralna do bazična tla</t>
  </si>
  <si>
    <t>Druge maslenke in lupljivke pod iglavci, ki pa so vse užitne in nekatere prav tako sluzaste.</t>
  </si>
  <si>
    <t>Milo saden, prijeten</t>
  </si>
  <si>
    <t>Meso ne spreminja barve (ali le rahlo rožnato posivi).</t>
  </si>
  <si>
    <t>Obvezno odstraniti sluz z macesnovca. Dobri za vlaganje in omake.</t>
  </si>
  <si>
    <t>Izključno pod macesni (alpske doline, višje lege).</t>
  </si>
  <si>
    <t>Izjemno pogosta v višjih legah (proti Solčavskemu), kjer so pogosti macesni.</t>
  </si>
  <si>
    <t>Višje lege Golt in Raduhe (pod macesni na karbonatni podlagi).</t>
  </si>
  <si>
    <t>Vražji goban</t>
  </si>
  <si>
    <t>Rubroboletus satanas</t>
  </si>
  <si>
    <t>Strupena</t>
  </si>
  <si>
    <t>Jul – Sep</t>
  </si>
  <si>
    <t>18 – 25 °C</t>
  </si>
  <si>
    <t>Hrast, bukev</t>
  </si>
  <si>
    <t>Mikoriza; v tleh v toplih, svetlih listnatih gozdovih</t>
  </si>
  <si>
    <t>Bazična (apnenčasta) tla</t>
  </si>
  <si>
    <t>Žametasti goban (Neoboletus erythropus) – užiten po kuhanju (ima temno rjav klobuk, vražji pa siv/bel).</t>
  </si>
  <si>
    <t>Stare gobe smrdijo po mrhovini</t>
  </si>
  <si>
    <t>Meso rahlo do zmerno pomodri na zraku.</t>
  </si>
  <si>
    <t>Strupena (povzroča gastrointestinalni sindrom).</t>
  </si>
  <si>
    <t>Svetli, topli gozdovi ob morju in na apnenčastem Krasu.</t>
  </si>
  <si>
    <t>Praktično odsoten; topla apnenčasta nižinska tla zanj tukaj niso primerna.</t>
  </si>
  <si>
    <t>Apnenčasta (bazična) tla nižjih toplejših leg (redko območje za to dolino).</t>
  </si>
  <si>
    <t>Leponogi postavnež</t>
  </si>
  <si>
    <t>Caloboletus calopus</t>
  </si>
  <si>
    <t>Jul – Okt</t>
  </si>
  <si>
    <t>10 – 16 °C</t>
  </si>
  <si>
    <t>Smreka, bukev</t>
  </si>
  <si>
    <t>Mikoriza; v tleh v gorskih iglastih gozdovih</t>
  </si>
  <si>
    <t>Kisle talne podlage</t>
  </si>
  <si>
    <t>Grenki goban (Caloboletus radicans) – neužiten in grenak. Leponogi ima izrazito rdeč spodnji del beta.</t>
  </si>
  <si>
    <t>Kiselkast, okus je neznosno grenak</t>
  </si>
  <si>
    <t>Zelo hitro in intenzivno modri/zeleni.</t>
  </si>
  <si>
    <t>Neužitna in zaradi grenkobe pokvari celotno jed.</t>
  </si>
  <si>
    <t>Višje hribovite lege, mešani gozdovi.</t>
  </si>
  <si>
    <t>Precej pogost v višjih gorskih predelih doline.</t>
  </si>
  <si>
    <t>Višja prehodna pobočja z nevtralnimi in rahlo kislimi tlemi.</t>
  </si>
  <si>
    <t>Navadna lisička</t>
  </si>
  <si>
    <t>Cantharellus cibarius</t>
  </si>
  <si>
    <t>12 – 22 °C</t>
  </si>
  <si>
    <t>Mikoriza; v tleh, v mahu, borovničevju ali med listjem</t>
  </si>
  <si>
    <t>Kisle gozdne talne podlage</t>
  </si>
  <si>
    <t>Oljkov livkar (Omphalotus olearius) – strupen; raste v šopih na lesu (predvsem na Primorskem pod oljkami/hrasti).</t>
  </si>
  <si>
    <t>Izrazit sadni vonj (po marelicah)</t>
  </si>
  <si>
    <t>Meso je belkasto-rumeno in ne spreminja barve.</t>
  </si>
  <si>
    <t>Sveža priprava (v jajcih, omake), primerna za zamrzovanje. Slaba za sušenje.</t>
  </si>
  <si>
    <t>Vse lege; obilna na Dolenjskem, v Zgornji savinjski dolini, na Gorenjskem.</t>
  </si>
  <si>
    <t>Izjemno pogosta in množično nabirana v mahu in borovničevju po vseh gozdovih doline.</t>
  </si>
  <si>
    <t>Smrekovško pogorje in vsa kisla pobočja z mahom v dolini.</t>
  </si>
  <si>
    <t>30-40</t>
  </si>
  <si>
    <t>15-22</t>
  </si>
  <si>
    <t>Lijasta lisička</t>
  </si>
  <si>
    <t>Craterellus tubaeformis</t>
  </si>
  <si>
    <t>Sep – Dec</t>
  </si>
  <si>
    <t>5 – 12 °C</t>
  </si>
  <si>
    <t>Smreka, bor</t>
  </si>
  <si>
    <t>Mikoriza; v vlažnem mahu pozno jeseni v iglastih gozdovih</t>
  </si>
  <si>
    <t>Izrazito kisla in vlažna tla</t>
  </si>
  <si>
    <t>Zlatorumena lisička (Cantharellus lutescens) – prav tako užitna, nima tako izrazitih letvic.</t>
  </si>
  <si>
    <t>Neizrazit do rahlo po zemlji</t>
  </si>
  <si>
    <t>Ne spreminja barve.</t>
  </si>
  <si>
    <t>Odlična za sušenje (ne izgubi oblike in arome).</t>
  </si>
  <si>
    <t>Hladnejši, vlažni iglasti gozdovi (Alpe in predgorje).</t>
  </si>
  <si>
    <t>Jeseni tvori ogromne kolonije v iglastih gozdovih, ki so stalno vlažni.</t>
  </si>
  <si>
    <t>Kisle, vlažne globeli Smrekovškega pogorja in predgorja.</t>
  </si>
  <si>
    <t>Črna trobenta</t>
  </si>
  <si>
    <t>Craterellus cornucopioides</t>
  </si>
  <si>
    <t>Avg – Nov</t>
  </si>
  <si>
    <t>12 – 18 °C</t>
  </si>
  <si>
    <t>Bukev, hrast</t>
  </si>
  <si>
    <t>Mikoriza; raste na vlažnih tleh, med odpadlim listjem v bukovih gozdovih</t>
  </si>
  <si>
    <t>Nevtralna do bazična (glinasta) tla</t>
  </si>
  <si>
    <t>Ni nevarnih dvojnic zaradi specifične trobentaste oblike in povsem črne/sive barve.</t>
  </si>
  <si>
    <t>Posušena ima izjemen vonj po tartufih/slivah</t>
  </si>
  <si>
    <t>Ne spreminja barve (je črna).</t>
  </si>
  <si>
    <t>Sušenje in mletje v gobji prah (začimba za omake in juhe).</t>
  </si>
  <si>
    <t>Bukovi gozdovi nižin in hribovij.</t>
  </si>
  <si>
    <t>Prisotna tam, kjer so močni bukovi sestoji (predvsem nižji in srednji predeli doline).</t>
  </si>
  <si>
    <t>Bazična in glinasta tla pod bukvami ob vznožjih Golt in Menine planine.</t>
  </si>
  <si>
    <t>Rumeni ježek</t>
  </si>
  <si>
    <t>Hydnum repandum</t>
  </si>
  <si>
    <t>Jul – Nov</t>
  </si>
  <si>
    <t>Bukev, smreka, hrast</t>
  </si>
  <si>
    <t>Mikoriza; v tleh, pogosto raste v 'vilinskih krogih' ali dolgih vrstah</t>
  </si>
  <si>
    <t>Nevtralna do rahlo bazična tla</t>
  </si>
  <si>
    <t>Rdečerjavi ježek (Hydnum rufescens) – manjši, bolj oranžen, prav tako užiten (odstranijo se bodičke).</t>
  </si>
  <si>
    <t>Prijeten, starejši pogrenijo</t>
  </si>
  <si>
    <t>Zlato-rumeno meso z dotikom rahlo porjavi.</t>
  </si>
  <si>
    <t>Vlaganje v kis, mešane gozdarske jedi. Stare je treba prekuhati.</t>
  </si>
  <si>
    <t>Zelo pogost v bukovih gozdovih po vsej državi.</t>
  </si>
  <si>
    <t>Zelo pogost povsod v bukovih gozdovih.</t>
  </si>
  <si>
    <t>Karbonatna podlaga (Golte, Menina), nevtralna in bazična tla.</t>
  </si>
  <si>
    <t>Modrikasta golobica</t>
  </si>
  <si>
    <t>Russula cyanoxantha</t>
  </si>
  <si>
    <t>Bukev, hrast, smreka</t>
  </si>
  <si>
    <t>Mikoriza; v tleh, v listnatih in mešanih gozdovih</t>
  </si>
  <si>
    <t>Nevtralna do rahlo kisla tla</t>
  </si>
  <si>
    <t>Zelena mušnica (Amanita phalloides) – smrtno strupena; mušnica ima obroček na betu in lupino v dnu beta, golobica ne.</t>
  </si>
  <si>
    <t>Blag, spominja na lešnike</t>
  </si>
  <si>
    <t>Hitro pečenje na žaru, juhe, sveže jedi.</t>
  </si>
  <si>
    <t>Povsod, zelo prisotna v mešanih listnatih gozdovih.</t>
  </si>
  <si>
    <t>Prisotna v mešanih in listnatih delih gozdov ob Savinji.</t>
  </si>
  <si>
    <t>Mešani gozdovi s prehodno kislostjo (nevtralna tla).</t>
  </si>
  <si>
    <t>Užitna golobica</t>
  </si>
  <si>
    <t>Russula vesca</t>
  </si>
  <si>
    <t>14 – 22 °C</t>
  </si>
  <si>
    <t>Mikoriza; v tleh v svetlih listnatih gozdovih</t>
  </si>
  <si>
    <t>Nevtralna do kisla tla</t>
  </si>
  <si>
    <t>Druge rdeče golobice – nekatere so pekoče in neužitne/strupene (pripravite test s konico jezika).</t>
  </si>
  <si>
    <t>Po orehih, sladek in prijeten</t>
  </si>
  <si>
    <t>Belo meso sčasoma zaradi starosti rjavkasto lisato.</t>
  </si>
  <si>
    <t>Uporabna vsestransko (pečenje, praženje).</t>
  </si>
  <si>
    <t>Nižinski in hriboviti hrastovo-bukovi gozdovi.</t>
  </si>
  <si>
    <t>Pogosta na obronkih in v svetlejših gozdovih nižjega dela doline.</t>
  </si>
  <si>
    <t>Zelo prilagodljiva; prehodi med apnencem in silikatom.</t>
  </si>
  <si>
    <t>Zelena golobica</t>
  </si>
  <si>
    <t>Russula virescens</t>
  </si>
  <si>
    <t>15 – 22 °C</t>
  </si>
  <si>
    <t>Mikoriza; v tleh, v svetlih in toplih listnatih gozdovih</t>
  </si>
  <si>
    <t>Zelena mušnica (Amanita phalloides) – smrtno strupena! Mušnica ima kožnat obroček in lupino (vrečko) v dnu beta.</t>
  </si>
  <si>
    <t>Sladkast, surov je zelo hrustljav</t>
  </si>
  <si>
    <t>Ne spreminja barve, zelo čvrsto meso.</t>
  </si>
  <si>
    <t>Kulinarično ena najbolj iskanih golobic (za na žar).</t>
  </si>
  <si>
    <t>Toplejša gričevja v osrednji in južni Sloveniji.</t>
  </si>
  <si>
    <t>Najdemo jo v nekoliko toplejših mikro-klimah nižje po dolini.</t>
  </si>
  <si>
    <t>Toplejši in svetlejši listnati gozdovi na apnencu.</t>
  </si>
  <si>
    <t>Bljuvna golobica</t>
  </si>
  <si>
    <t>Russula emetica</t>
  </si>
  <si>
    <t>Mikoriza; v vlažnih iglastih gozdovih, barjih, na šotnem mahu</t>
  </si>
  <si>
    <t>Zelo kisla in mokrotna tla</t>
  </si>
  <si>
    <t>Užitne rdeče golobice – bljuvna je izjemno pekoča in povzroča hude prebavne motnje.</t>
  </si>
  <si>
    <t>Saden vonj, okus pa neznosno in takoj peče</t>
  </si>
  <si>
    <t>Bela, nespremenljiva.</t>
  </si>
  <si>
    <t>Strupena (huda slabost in bruhanje).</t>
  </si>
  <si>
    <t>Barjanska območja (npr. Pokljuka), mokrotna tla gora.</t>
  </si>
  <si>
    <t>Pogosta na območjih, kjer se zadržuje voda, ter na šotnatih/mokrotnih tleh više v hribih.</t>
  </si>
  <si>
    <t>Kisla, šotna in mokrotna tla Smrekovca.</t>
  </si>
  <si>
    <t>Užitna sirovka</t>
  </si>
  <si>
    <t>Lactarius deliciosus</t>
  </si>
  <si>
    <t>Izključno rdeči in črni bor (Pinus)</t>
  </si>
  <si>
    <t>Mikoriza; na tleh, v travi ali pesku pod bori</t>
  </si>
  <si>
    <t>Bazična do nevtralna tla (apnenec)</t>
  </si>
  <si>
    <t>Navadna tura (Lactarius torminosus) – strupena; raste pod brezami in izloča bel, zelo pekoč mleček.</t>
  </si>
  <si>
    <t>Prijeten, rahlo kiselkast</t>
  </si>
  <si>
    <t>Izloča oranžen mleček; poškodovana mesta sčasoma blago pozelenijo.</t>
  </si>
  <si>
    <t>Najboljša hitro popečena na plošči z malo soli in česna. Vlaganje.</t>
  </si>
  <si>
    <t>Borovi gozdovi Krasa in peščena tla.</t>
  </si>
  <si>
    <t>Manj pogosta zaradi manjka čistih borovih sestojev, a raste tam, kjer so posamezni bori.</t>
  </si>
  <si>
    <t>Kjer so bori na apnenčasti podlagi ali prodnatih rečnih nanosih.</t>
  </si>
  <si>
    <t>Smrekova sirovka</t>
  </si>
  <si>
    <t>Lactarius deterrimus</t>
  </si>
  <si>
    <t>Izključno smreka (Picea)</t>
  </si>
  <si>
    <t>Mikoriza; na tleh v vlažnih smrekovih gozdovih, med mahom</t>
  </si>
  <si>
    <t>Druge sirovke z oranžnim mlečkom – vse so užitne (smrekova hitro pozeleni na mestih poškodb).</t>
  </si>
  <si>
    <t>Podoben pravi sirovki</t>
  </si>
  <si>
    <t>Oranžen mleček, ki zelo hitro vinsko rdeče do intenzivno zeleno oksidira.</t>
  </si>
  <si>
    <t>Pečenje (vendar je nekoliko manj aromatična kot užitna sirovka).</t>
  </si>
  <si>
    <t>Predalpske doline, pod smrekami (npr. Pohorje, Savinjske Alpe).</t>
  </si>
  <si>
    <t>Izjemno pogosta, raste praktično v vsakem vlažnem smrekovem gozdu; zelo priljubljena.</t>
  </si>
  <si>
    <t>Smrekovško pogorje in vsa smrekova pobočja s kislotnim ali nevtralnim pH.</t>
  </si>
  <si>
    <t>Kravja mlečnica</t>
  </si>
  <si>
    <t>Lactifluus piperatus</t>
  </si>
  <si>
    <t>Mikoriza; v tleh, v gostih listnatih gozdovih. Užitna le močno pečena</t>
  </si>
  <si>
    <t>Polsteni mlečnik (Lactifluus vellereus) – neužiten; ima žametno dlako na klobuku in bolj razmaknjene lističe.</t>
  </si>
  <si>
    <t>Oster, mleček peče kot čili</t>
  </si>
  <si>
    <t>Bel mleček, ki na zraku počasi rumeni ali pa ostane bel.</t>
  </si>
  <si>
    <t>Vlaganje ali močno in dolgotrajno pečenje do hrustljavosti (uniči pekočino).</t>
  </si>
  <si>
    <t>Zelo razširjena v mešanih gozdovih.</t>
  </si>
  <si>
    <t>Pogosta v nižinskih in mešanih gozdovih.</t>
  </si>
  <si>
    <t>Glinasta in bazična tla listnatih gozdov v nižinah.</t>
  </si>
  <si>
    <t>Polsteni mlečnik</t>
  </si>
  <si>
    <t>Lactifluus vellereus</t>
  </si>
  <si>
    <t>Mikoriza; v tleh v listnatih in mešanih gozdovih</t>
  </si>
  <si>
    <t>Kravja mlečnica (Lactifluus piperatus) – pogojno užitna; ima popolnoma gladko kožico klobuka.</t>
  </si>
  <si>
    <t>Rahlo kiselkast, pekoč in trpek</t>
  </si>
  <si>
    <t>Mleček je bel, na zraku rahlo rumeni.</t>
  </si>
  <si>
    <t>Neužitna zaradi izjemno trde, plutaste strukture.</t>
  </si>
  <si>
    <t>Listnati gozdovi po vsej Sloveniji.</t>
  </si>
  <si>
    <t>Prisotna, a neužitna.</t>
  </si>
  <si>
    <t>Široko prilagodljiva po vsej dolini v mešanih gozdovih.</t>
  </si>
  <si>
    <t>Knežja mušnica (Karželj)</t>
  </si>
  <si>
    <t>Amanita caesarea</t>
  </si>
  <si>
    <t>18 – 26 °C</t>
  </si>
  <si>
    <t>Mikoriza; v tleh na toplih, južnih in sončnih legah gozdov</t>
  </si>
  <si>
    <t>Rdeča mušnica (Amanita muscaria) – strupena; rdeča mušnica ima bele lističe in bet ter luskice, karželj pa je živo rumen.</t>
  </si>
  <si>
    <t>Neizrazit do blago oreškast</t>
  </si>
  <si>
    <t>Rumeno meso in lističi ne spreminjajo barve.</t>
  </si>
  <si>
    <t>Zakonsko zaščitena. (Kjer je dovoljeno, se uživa celo surova kot carpaccio).</t>
  </si>
  <si>
    <t>Izključno tople južne lege (Goriška Brda, Kras, Vipava).</t>
  </si>
  <si>
    <t>Odsotna. Klima je za to mediteransko/submediteransko vrsto prehladna.</t>
  </si>
  <si>
    <t>Apnenčasta in sončna tla (če bi bila mikroklima dovolj topla).</t>
  </si>
  <si>
    <t>12-20</t>
  </si>
  <si>
    <t>Rdečkasta mušnica (Bisernica)</t>
  </si>
  <si>
    <t>Amanita rubescens</t>
  </si>
  <si>
    <t>Bukev, smreka, bor, hrast</t>
  </si>
  <si>
    <t>Mikoriza; v tleh. Surova strupena, zahteva temeljito toplotno obdelavo</t>
  </si>
  <si>
    <t>Zelo prilagodljiva; raste na vseh tleh</t>
  </si>
  <si>
    <t>Panterjeva mušnica (Amanita pantherina) – zelo strupena! Bisernica vedno rdeči na zraku/poškodbah in ima narebren obroček.</t>
  </si>
  <si>
    <t>Brez vonja, okus surove rahlo praska</t>
  </si>
  <si>
    <t>Meso (zlasti ob roždenju črvov in dnu beta) intenzivno vinsko pordeči.</t>
  </si>
  <si>
    <t>Surova vsebuje hemolizine. Obvezno dobro prekuhati in vodo zliti stran.</t>
  </si>
  <si>
    <t>Zelo pogosta povsod od ravnin do gorskih predelov.</t>
  </si>
  <si>
    <t>Zelo pogosta po vseh hribovitih pobočjih in ravnicah.</t>
  </si>
  <si>
    <t>Izjemno prilagodljiva; raste od rečnih logov do kislega Smrekovca.</t>
  </si>
  <si>
    <t>Rdeča mušnica</t>
  </si>
  <si>
    <t>Amanita muscaria</t>
  </si>
  <si>
    <t>Breza, smreka, bor</t>
  </si>
  <si>
    <t>Mikoriza; v tleh v mešanih in iglastih gozdovih</t>
  </si>
  <si>
    <t>Knežja mušnica (Amanita caesarea) – užitna/zaščitena; karželj ima rumene lističe, bet in obroček.</t>
  </si>
  <si>
    <t>Meso je belo, neposredno pod rdečo kožico klobuka pa rumeno-oranžno.</t>
  </si>
  <si>
    <t>Strupena (povzroča panterinski/muskarinski sindrom).</t>
  </si>
  <si>
    <t>Raste vse do zgornje gozdne meje v hribovjih in na Pokljuki.</t>
  </si>
  <si>
    <t>Množično prisotna ob jurčkih v smrekovih in mešanih sestojih.</t>
  </si>
  <si>
    <t>Smrekovško pogorje (kisla tla ob brezah in smrekah).</t>
  </si>
  <si>
    <t>Zelena mušnica</t>
  </si>
  <si>
    <t>Amanita phalloides</t>
  </si>
  <si>
    <t>Hrast, bukev, gaber, leska</t>
  </si>
  <si>
    <t>Mikoriza; v tleh v toplih listnatih gozdovih. Že 30g je lahko smrtonosna doza</t>
  </si>
  <si>
    <t>Zelena golobica (Russula virescens) – užitna; golobica nima obročka na betu in nima lupine (vrečke) v dnu beta.</t>
  </si>
  <si>
    <t>Sladkast (po medu/vrtnicah), stare smrdijo</t>
  </si>
  <si>
    <t>Meso je trajno belo in ne spreminja barve.</t>
  </si>
  <si>
    <t>Smrtno strupena! (Tudi po kuhanju in zamrzovanju ostane smrtonosna).</t>
  </si>
  <si>
    <t>Toplejši listnati gozdovi po vsej državi, zlasti pod hrasti in kostanji.</t>
  </si>
  <si>
    <t>Prisotna v mešanih sestojih in logih, posebej pod hrasti in gabri; zahteva previdnost.</t>
  </si>
  <si>
    <t>Toplejša bazična tla pod hrasti in gabri v nižjem delu doline.</t>
  </si>
  <si>
    <t>Panterjeva mušnica</t>
  </si>
  <si>
    <t>Amanita pantherina</t>
  </si>
  <si>
    <t>Zelo strupena</t>
  </si>
  <si>
    <t>Bukev, hrast, rdeči bor</t>
  </si>
  <si>
    <t>Mikoriza; v tleh v svetlih gozdovih</t>
  </si>
  <si>
    <t>Rdečkasta mušnica (Amanita rubescens) – užitna; rdečkasta rdeči ob poškodbi, panterjeva pa ne spreminja barve mesa.</t>
  </si>
  <si>
    <t>Vonj po redkvici ali surovem krompirju</t>
  </si>
  <si>
    <t>Belo meso, ne spreminja barve (ključna razlika od bisernice).</t>
  </si>
  <si>
    <t>Zelo strupena (hud panterinski sindrom).</t>
  </si>
  <si>
    <t>Topla nižinska območja in obronki gozdov.</t>
  </si>
  <si>
    <t>Manj pogosta kot v panonskem svetu, a prisotna na toplejših jasah.</t>
  </si>
  <si>
    <t>Toplejše lege na karbonatni podlagi.</t>
  </si>
  <si>
    <t>Koničasta mušnica</t>
  </si>
  <si>
    <t>Amanita virosa</t>
  </si>
  <si>
    <t>Smreka, bor, bukev</t>
  </si>
  <si>
    <t>Mikoriza; v tleh v vlažnih gorskih iglastih gozdovih</t>
  </si>
  <si>
    <t>Poljski kukmaki (Agaricus campestris) – užitni; kukmaki nimajo lupine v dnu beta, njihovi lističi pa hitro pordečijo ali rjavijo.</t>
  </si>
  <si>
    <t>Mlada brez vonja, stara ima neprijeten zadušljiv vonj</t>
  </si>
  <si>
    <t>Snežno belo, brez sprememb.</t>
  </si>
  <si>
    <t>Smrtno strupena!</t>
  </si>
  <si>
    <t>Gorski iglasti gozdovi (Alpe, Pohorje), pogosto vlažna tla.</t>
  </si>
  <si>
    <t>Prisotna v vlažnih višjih gorskih gozdovih – izjemno nevarna dvojnica kukmakov.</t>
  </si>
  <si>
    <t>Kisla tla Smrekovškega pogorja (vlažni iglasti gozdovi).</t>
  </si>
  <si>
    <t>Orjaški dežnik (Marela)</t>
  </si>
  <si>
    <t>Macrolepiota procera</t>
  </si>
  <si>
    <t>Nobenega (Saprofit)</t>
  </si>
  <si>
    <t>Razkrajalka organskih snovi; robovi gozdov, travniki, gozdne jase</t>
  </si>
  <si>
    <t>Kisla do nevtralna, bogata tla</t>
  </si>
  <si>
    <t>Strupena rdečeča dežnica (Chlorophyllum brunneum) – strupena; meso ob poškodbi močno pordeči, bet nima marogastega vzorca.</t>
  </si>
  <si>
    <t>Značilen okus po lešnikih</t>
  </si>
  <si>
    <t>Meso klobuka ostane belo, bet je olesenel.</t>
  </si>
  <si>
    <t>Klobuki so odlični panirani in ocvrti ('pohane marele'). Betov se ne je.</t>
  </si>
  <si>
    <t>Travniki, obronki gozdov od Primorske do Gorenjske.</t>
  </si>
  <si>
    <t>Množično raste na obronkih gozdnih cest in po travnikih/senožetih vseh hribov okoli doline.</t>
  </si>
  <si>
    <t>Travniki, jase in robovi gozdov na bazičnih do nevtralnih tleh (Golte, Menina).</t>
  </si>
  <si>
    <t>Poljski kukmak</t>
  </si>
  <si>
    <t>Agaricus campestris</t>
  </si>
  <si>
    <t>Maj – Okt</t>
  </si>
  <si>
    <t>Razkrajalka; travniki, pašniki, kjer se pase živina</t>
  </si>
  <si>
    <t>Nevtralna do bazična, dobro gnojena prst</t>
  </si>
  <si>
    <t>Karbolni kukmak (Agaricus xanthodermus) – strupen; v dnu beta ob prerezu močno porumeni in smrdi po črnilu.</t>
  </si>
  <si>
    <t>Prijeten, po gobah in rahlo po mandljih</t>
  </si>
  <si>
    <t>Lističi iz rožnate postanejo čokoladno rjavi, meso lahko rahlo pordeči.</t>
  </si>
  <si>
    <t>Sveža priprava, žar, odlična surova v solatah.</t>
  </si>
  <si>
    <t>Gnojeni pašniki in senožeti po vsej Sloveniji.</t>
  </si>
  <si>
    <t>Pogost na kmetijskih površinah, pašnikih in travnikih okoli naselij.</t>
  </si>
  <si>
    <t>Gnojeni pašniki in senožeti na apnenčasti/bazični osnovi.</t>
  </si>
  <si>
    <t>Karbolni kukmak</t>
  </si>
  <si>
    <t>Agaricus xanthodermus</t>
  </si>
  <si>
    <t>Razkrajalka; vrtovi, parki, ob poteh, gredice z zastirko</t>
  </si>
  <si>
    <t>Nevtralna do bazična, bogata tla</t>
  </si>
  <si>
    <t>Poljski kukmak (Agaricus campestris) – užiten; poljski kukmak prijetno diši po mandljih in v dnu beta ne rumeni.</t>
  </si>
  <si>
    <t>Neprijeten vonj po kemikalijah (karbol, črnilo)</t>
  </si>
  <si>
    <t>Ob drgnjenju dnišče beta takoj izrazito kromasto rumeno obarva.</t>
  </si>
  <si>
    <t>Strupena (povzroča prebavne motnje). Zgrejemo jo s kuhanjem (smrad se ojača).</t>
  </si>
  <si>
    <t>Vrtovi, zelenice in mestni parki.</t>
  </si>
  <si>
    <t>Občasno prisoten okoli parkov, hiš in na gnojenih tleh.</t>
  </si>
  <si>
    <t>Območja okoli naselij z bogatimi in bazičnimi tlemi.</t>
  </si>
  <si>
    <t>Pšenična koprenka</t>
  </si>
  <si>
    <t>Cortinarius caperatus</t>
  </si>
  <si>
    <t>Smreka, bor, borovnice</t>
  </si>
  <si>
    <t>Mikoriza; v tleh v vlažnih iglastih gozdovih, med mahom</t>
  </si>
  <si>
    <t>Sorodne strupene koprenke – pšenična se loči po narebranem svetlem klobuku z značilnim srebrnkastim prahom.</t>
  </si>
  <si>
    <t>Blag in prijeten, rahlo po začimbah</t>
  </si>
  <si>
    <t>Ena najboljših gob za mešane goveje in gobje juhe, praženje.</t>
  </si>
  <si>
    <t>Višje lege in mahnati iglasti gozdovi (Pokljuka, Smrekovec).</t>
  </si>
  <si>
    <t>Ena najbolj priljubljenih (in pogostih) gob na kislih tleh z borovnicami (npr. območje Smrekovca).</t>
  </si>
  <si>
    <t>Smrekovško pogorje (specifičen habitat v borovničevju in kislem mahu).</t>
  </si>
  <si>
    <t>Sivorumena mraznica (Štorovka)</t>
  </si>
  <si>
    <t>Armillaria mellea</t>
  </si>
  <si>
    <t>Hrast, bukev, sadno drevje (Parazit/Saprofit)</t>
  </si>
  <si>
    <t>Zajeda živa in razkraja odmrla debla; raste v gostih šopih na lesu</t>
  </si>
  <si>
    <t>Saprofit na lesu; nevtralna tla</t>
  </si>
  <si>
    <t>Navadna žveplenjača (Hypholoma fasciculare) – strupena; nima obročka na betu, klobuk je žvepleno rumen in zelo grenak.</t>
  </si>
  <si>
    <t>Rahlo trpek/kiselkast, okus mil</t>
  </si>
  <si>
    <t>Ne spreminja barve, trosni prah je bel.</t>
  </si>
  <si>
    <t>Obvezno kuhanje (odliti vodo) ali vlaganje mladih klobukov v kis.</t>
  </si>
  <si>
    <t>Suholesna goba, povsod prisotna po starih sadovnjakih in listnatih gozdovih.</t>
  </si>
  <si>
    <t>Jeseni jo najdemo na vseh starih štoriščih in zapuščenih sadovnjakih.</t>
  </si>
  <si>
    <t>Vsepovsod po starih sadovnjakih in logih na nevtralnih tleh.</t>
  </si>
  <si>
    <t>Zimska panjevka</t>
  </si>
  <si>
    <t>Flammulina velutipes</t>
  </si>
  <si>
    <t>Nov – Mar</t>
  </si>
  <si>
    <t>-2 do 8 °C</t>
  </si>
  <si>
    <t>Vrba, jelša, bezeg, javor (Saprofit/Parazit)</t>
  </si>
  <si>
    <t>Razkraja odmrli les; raste pozimi v šopih neposredno na deblih</t>
  </si>
  <si>
    <t>Saprofit na lesu</t>
  </si>
  <si>
    <t>Strupena galerina (Galerina marginata) – smrtno strupena; galerina raste na iglavcih, ima obroček in nima žametnega beta.</t>
  </si>
  <si>
    <t>Prijeten</t>
  </si>
  <si>
    <t>Meso je tanko, rumenkasto, ne spreminja barve.</t>
  </si>
  <si>
    <t>Zelo priljubljena 'zimska' goba za juhe in azijske jedi (gojena je poznana kot Enoki).</t>
  </si>
  <si>
    <t>Loke ob rekah, vrbovja in jelševja povsod v nižinah.</t>
  </si>
  <si>
    <t>Pogosto zraste na starih vrbah neposredno ob reki Savinji in Dreti.</t>
  </si>
  <si>
    <t>Rečne terase in poplavni logi ob Savinji in Dreti (na vrbah, jelšah).</t>
  </si>
  <si>
    <t>Bukov ostrigar</t>
  </si>
  <si>
    <t>Pleurotus ostreatus</t>
  </si>
  <si>
    <t>Okt – Jan</t>
  </si>
  <si>
    <t>4 – 12 °C</t>
  </si>
  <si>
    <t>Bukev, oreh, vrba (Saprofit/Parazit)</t>
  </si>
  <si>
    <t>Raste v velikih prekrivajočih grmičih na odmrlem ali oslabelem lesu listavcev</t>
  </si>
  <si>
    <t>V času njegove rasti (pozno jeseni in pozimi) ni nevarnih podobnih gob na lesu.</t>
  </si>
  <si>
    <t>Rahlo mokast</t>
  </si>
  <si>
    <t>Meso je čvrsto belo in se ne barva.</t>
  </si>
  <si>
    <t>Odličen za žar in golaže. Zelo primeren za domače gojenje.</t>
  </si>
  <si>
    <t>Bukovi gozdovi in stara debla listavcev pozimi.</t>
  </si>
  <si>
    <t>Pogost pozno jeseni in pozimi na starih bukvah višje v pobočjih.</t>
  </si>
  <si>
    <t>Višja in hladnejša pobočja (predvsem na starih bukvah, neodvisno od tal).</t>
  </si>
  <si>
    <t>Navadna žveplenjača</t>
  </si>
  <si>
    <t>Hypholoma fasciculare</t>
  </si>
  <si>
    <t>Maj – Dec</t>
  </si>
  <si>
    <t>8 – 20 °C</t>
  </si>
  <si>
    <t>Različni listavci in iglavci (Saprofit)</t>
  </si>
  <si>
    <t>Razkrajalka; raste v izjemno gostih in velikih šopih na štori in koreninah</t>
  </si>
  <si>
    <t>Sivorumena mraznica (Armillaria mellea) – užitna po kuhanju; mraznica ima nežen obroček, luskice in bel trosni prah.</t>
  </si>
  <si>
    <t>Neprijeten zemeljski vonj, okus zelo grenak</t>
  </si>
  <si>
    <t>Lističi sčasoma postanejo olivno zeleni do sivo-črni.</t>
  </si>
  <si>
    <t>Strupena (hude prebavne težave, grenkoba opozori).</t>
  </si>
  <si>
    <t>Na vsakem starem štoru po vsej Sloveniji.</t>
  </si>
  <si>
    <t>Neizogibna na starih drevesnih štoriščih skozi vso sezono.</t>
  </si>
  <si>
    <t>Na vsakem odmrlem štuku, ne glede na geološko podlago.</t>
  </si>
  <si>
    <t>Vijoličasta bledivka</t>
  </si>
  <si>
    <t>Laccaria amethystina</t>
  </si>
  <si>
    <t>Bukev, smreka</t>
  </si>
  <si>
    <t>Mikoriza; raste na vlažnih tleh, med odpadlim listjem ali mahom</t>
  </si>
  <si>
    <t>Vijoličasta čeladica (Mycena pura) – strupena; loči se po izrazitem vonju po redkvici in tanjših, gostejših lističih.</t>
  </si>
  <si>
    <t>Brez posebnega vonja, blag okus</t>
  </si>
  <si>
    <t>Bledo vijolično meso zbledi ob izsušitvi (postane belkasto/rjavo).</t>
  </si>
  <si>
    <t>Za mešane jedi (kot zanimiv barvni dodatek) in okrasitev.</t>
  </si>
  <si>
    <t>Vlažne globeli v bukovih gozdovih.</t>
  </si>
  <si>
    <t>Pogosta popestritev tal v globelih bukovih gozdovih.</t>
  </si>
  <si>
    <t>Vlažne globeli na vseh tipih tal (izogiba se le izrazito suhemu apnencu).</t>
  </si>
  <si>
    <t>Užitni smrček (Mavrah)</t>
  </si>
  <si>
    <t>Morchella esculenta</t>
  </si>
  <si>
    <t>Apr – Maj</t>
  </si>
  <si>
    <t>Jesen, brest, divja jablana (Saprofit/Mikoriza)</t>
  </si>
  <si>
    <t>Raste spomladi na poplavnih območjih, logih ob rekah ter pogoriščih</t>
  </si>
  <si>
    <t>Nevtralna do bazična (ilovnata in vlažna) tla</t>
  </si>
  <si>
    <t>Pomladanski hrček (Gyromitra esculenta) – zelo strupen; hrček ima možgansko naguban klobuk in ni votel.</t>
  </si>
  <si>
    <t>Blag in prijeten vonj po glivah</t>
  </si>
  <si>
    <t>Ne spreminja barve. Znotraj votla.</t>
  </si>
  <si>
    <t>Odlična v smetanovih omakah (obvezno dobro prekuhana ali posušena).</t>
  </si>
  <si>
    <t>Spomladi v logih ob rekah (npr. ob Savinji, Muri, Krki).</t>
  </si>
  <si>
    <t>Spomladi zelo iskan v logih, ob obrežjih rek in potokov.</t>
  </si>
  <si>
    <t>Aluvialna (rečna) prodnata in peščena tla ob Savinji, Dreti (pod jeseni).</t>
  </si>
  <si>
    <t>Koničasti smrček</t>
  </si>
  <si>
    <t>Morchella elata</t>
  </si>
  <si>
    <t>Mar – Maj</t>
  </si>
  <si>
    <t>6 – 13 °C</t>
  </si>
  <si>
    <t>Iglavci (bor, smreka) (Saprofit)</t>
  </si>
  <si>
    <t>Raste na lesnih ostankih, sekačih, gozdnih robovih, lubju</t>
  </si>
  <si>
    <t>Pomladanski hrček (Gyromitra esculenta) – zelo strupen; hrček ima klobuk podoben možganom in nima pravilnih navpičnih jamic.</t>
  </si>
  <si>
    <t>Ne spreminja barve. Votla.</t>
  </si>
  <si>
    <t>Kuhanje in sušenje (zlasti priljubljena v restavracijah visoke kulinarike).</t>
  </si>
  <si>
    <t>Spomladi na robovih gozdnih cest in sekačih (predalpski svet).</t>
  </si>
  <si>
    <t>Spomladi pogosto zraste ob poteh ali vlakah, kjer so ležali sekanci.</t>
  </si>
  <si>
    <t>Višje lege z ostanki lesa (bolj pogosta na kislih tleh z iglavci).</t>
  </si>
  <si>
    <t>Pomladanski hrček</t>
  </si>
  <si>
    <t>Gyromitra esculenta</t>
  </si>
  <si>
    <t>Razkrajalka; raste na peščenih tleh v bližini borovih korenin in lesnih ostankov</t>
  </si>
  <si>
    <t>Kisla, peščena tla</t>
  </si>
  <si>
    <t>Užitni smrček (Morchella esculenta) – užiten; smrček ima satast klobuk (kot panj) in je v celoti votel.</t>
  </si>
  <si>
    <t>Prijeten (kar zavaja nabiralce)</t>
  </si>
  <si>
    <t>Zelo strupena (sindrom giromitrin). Čeprav jo nekateri še vedno prekuhavajo, je izjemno tvegana.</t>
  </si>
  <si>
    <t>Peščeni bori ob rekah in na ravnicah.</t>
  </si>
  <si>
    <t>Precej redka, saj ima raje izrazito peščena tla z bori.</t>
  </si>
  <si>
    <t>Peščene naplavine ali borovi sestoji z nevtralnim pH.</t>
  </si>
  <si>
    <t>Jesenski hrček</t>
  </si>
  <si>
    <t>Gyromitra infula</t>
  </si>
  <si>
    <t>Iglavci (Saprofit)</t>
  </si>
  <si>
    <t>Razkraja les; raste na gnijočih deblih iglavcev ali na tleh z lesnimi sekači</t>
  </si>
  <si>
    <t>Kisle, lesne talne podlage</t>
  </si>
  <si>
    <t>Rogati hrček (Gyromitra gigas) ali drugi jesenski hrčki, ki so vsi sumljivi in potencialno nevarni.</t>
  </si>
  <si>
    <t>Ne spreminja.</t>
  </si>
  <si>
    <t>Strupena (podobni toksini kot pri hrčku).</t>
  </si>
  <si>
    <t>Gorski iglasti gozdovi.</t>
  </si>
  <si>
    <t>Pogosta jeseni v višjih iglastih gozdovih.</t>
  </si>
  <si>
    <t>Kisle gozdne lege in lesni ostanki višje v hribih.</t>
  </si>
  <si>
    <t>Navadna podvihanka</t>
  </si>
  <si>
    <t>Paxillus involutus</t>
  </si>
  <si>
    <t>Breza, smreka, jelša, bor</t>
  </si>
  <si>
    <t>Mikoriza; v tleh v vlažnih mešanih gozdovih, parkih. Kumulativni strup</t>
  </si>
  <si>
    <t>Velike rjave livke – podvihanka se prepozna po močno spodvihanem žametnem robu klobuka in rjavenju ob dotiku.</t>
  </si>
  <si>
    <t>Izrazito kiselkast okus, vonj po sadju</t>
  </si>
  <si>
    <t>Meso in lističi na pritisk hitro umazano rjavo obarvajo.</t>
  </si>
  <si>
    <t>Smrtno strupena (kumulativni alergijski sindrom na rdeče krvničke).</t>
  </si>
  <si>
    <t>Zelo pogosta povsod, pogosto pod brezami in v parkih.</t>
  </si>
  <si>
    <t>Množično prisotna povsod, zlasti pod brezami in ob poteh.</t>
  </si>
  <si>
    <t>Izrazito kisloljubna, a se prilagodi tudi prehodnim območjem z brezami.</t>
  </si>
  <si>
    <t>Orjaška plešivka</t>
  </si>
  <si>
    <t>Calvatia gigantea</t>
  </si>
  <si>
    <t>Razkrajalka; raste na bogatih travnikih, pašnikih, sadovnjakih</t>
  </si>
  <si>
    <t>Nevtralna do bazična, z dušikom izjemno bogata tla</t>
  </si>
  <si>
    <t>Zaradi izjemne velikosti (lahko kot velika bela žoga) in kroglaste oblike je praktično nezamenljiva.</t>
  </si>
  <si>
    <t>Rahel vonj po seču/kemiji ko raste, okus blag</t>
  </si>
  <si>
    <t>Ko zori, se belo meso spremeni v rumeno in kasneje v rjav prah.</t>
  </si>
  <si>
    <t>Reže se na 'zrezke' in peče/cvre. Užitna le popolnoma čisto bela v notranjosti.</t>
  </si>
  <si>
    <t>Senožeti in dobro gnojeni travniki po nižinah in gričevjih.</t>
  </si>
  <si>
    <t>Redko, a se najde na dobro gnojenih ravnicah ali senožetih ob kmetijah.</t>
  </si>
  <si>
    <t>Pašniki z apnenčasto podlago in visoko vsebnostjo dušika.</t>
  </si>
  <si>
    <t>Velika tintnica</t>
  </si>
  <si>
    <t>Coprinus comatus</t>
  </si>
  <si>
    <t>Razkrajalka; raste na bogatih, gnojenih travnikih, ob poteh, vrtovih</t>
  </si>
  <si>
    <t>Nevtralna do bazična prst</t>
  </si>
  <si>
    <t>Gola tintnica (Coprinopsis atramentaria) – pogojno strupena z alkoholom; nima luskastega in visokega valjastega klobuka.</t>
  </si>
  <si>
    <t>Nežen vonj in okus</t>
  </si>
  <si>
    <t>Iz bele barve lističi hitro počrnijo in se utekočinijo (tinta).</t>
  </si>
  <si>
    <t>Pripraviti jo je treba v nekaj urah po nabiranju! Ne sme se segrevati v mikrovalovki.</t>
  </si>
  <si>
    <t>Obronki gozdov, travniki, ob cestah.</t>
  </si>
  <si>
    <t>Zelo pogosta ob makadamskih cestah in pašnikih v dolini.</t>
  </si>
  <si>
    <t>Senožeti in gnojena bazična tla.</t>
  </si>
  <si>
    <t>Bezgova uhljevka</t>
  </si>
  <si>
    <t>Auricularia auricula-judae</t>
  </si>
  <si>
    <t>Celotno leto</t>
  </si>
  <si>
    <t>5 – 15 °C</t>
  </si>
  <si>
    <t>Črni bezeg (Sambucus nigra) (Saprofit)</t>
  </si>
  <si>
    <t>Razkraja odmrle bezgove veje; želatinasta struktura, ki med kuhanjem hrusta</t>
  </si>
  <si>
    <t>Saprofit na lesu bezga</t>
  </si>
  <si>
    <t>Vijoličasta zvedavka (Auricularia mesenterica) – neužitna; nima oblike ušesa in je bolj usnjata.</t>
  </si>
  <si>
    <t>Nevtralen, blag okus</t>
  </si>
  <si>
    <t>Svetlo do temno rjava; med kuhanjem postane hrustljava.</t>
  </si>
  <si>
    <t>Sušenje in nato uporaba v tradicionalnih azijskih juhah.</t>
  </si>
  <si>
    <t>Vlažne doline in soteske ob rekah (predvsem na odmrlem bezgu).</t>
  </si>
  <si>
    <t>Obilno uspeva na grmih črnega bezga v logih ob rekah in potokih (Savinja, Rečica).</t>
  </si>
  <si>
    <t>Rečni logi in soteske z visoko zračno vlago ob Savinji in pritokih.</t>
  </si>
  <si>
    <t>Betičasta prašnica</t>
  </si>
  <si>
    <t>Lycoperdon perlatum</t>
  </si>
  <si>
    <t>Razkrajalka organskih ostankov; raste v skupinah na gozdnih tleh ali lesu</t>
  </si>
  <si>
    <t>Navadna smrdljivka (Scleroderma citrinum) – strupena; zelo trda, lupina je debela, usnjata, meso znotraj hitro počrni.</t>
  </si>
  <si>
    <t>Močan vonj po gobah</t>
  </si>
  <si>
    <t>V mladosti snežno bela. Nato porumeni in postane puhast rjav prah.</t>
  </si>
  <si>
    <t>Mešane jedi (odlično zgosti jed). Užitna le čisto bela notranjost.</t>
  </si>
  <si>
    <t>Vse gozdne površine od ravnin do Alp.</t>
  </si>
  <si>
    <t>Prisotna v vsakem gozdu ob vsakem času sezone.</t>
  </si>
  <si>
    <t>Popolnoma prilagodljiva na vse geološke podlage v dolini.</t>
  </si>
  <si>
    <t>Veliki slinar</t>
  </si>
  <si>
    <t>Gomphidius glutinosus</t>
  </si>
  <si>
    <t>Mikoriza; raste v vlažnem mahu pod smrekami. Izrazito sluzasta goba</t>
  </si>
  <si>
    <t>Bakerasti polžar (Chroogomphus rutilus) – užiten; nima prozorne debele sluzi in je ves rdečkasto-bakerne barve.</t>
  </si>
  <si>
    <t>Kiselkast, brez posebnega okusa</t>
  </si>
  <si>
    <t>Meso ob drgnjenju mestoma rahlo črni. Dno beta je vedno živo rumeno.</t>
  </si>
  <si>
    <t>Odstraniti je treba debelo sluz z lupljenjem klobuka pred pripravo.</t>
  </si>
  <si>
    <t>Izrazito alpski in predalpski smrekovi gozdovi z mahom.</t>
  </si>
  <si>
    <t>Prisoten povsod v mahu pod smrekami.</t>
  </si>
  <si>
    <t>Kisli, mahnati predeli Smrekovca.</t>
  </si>
  <si>
    <t>Brezov ded</t>
  </si>
  <si>
    <t>Leccinum scabrum</t>
  </si>
  <si>
    <t>Izključno breza (Betula)</t>
  </si>
  <si>
    <t>Mikoriza; v tleh pod brezami v mešanih gozdovih</t>
  </si>
  <si>
    <t>Žolčasti goban (Tylopilus felleus) – neužiten, izredno grenak; loči se po rožnati trosovnici (cevke pod klobukom).</t>
  </si>
  <si>
    <t>Meso na prerezu običajno ne spreminja barve ali pa le minimalno posivi.</t>
  </si>
  <si>
    <t>Uporaben v vseh gobjih jedeh (pri kuhanju pogosto močno počrni).</t>
  </si>
  <si>
    <t>Predalpska in mešana gozdna območja ob brezovih sestojih.</t>
  </si>
  <si>
    <t>Pogost povsod, kjer so v dolini in na hribih prisotne posamezne breze.</t>
  </si>
  <si>
    <t>Zahteva brezo; podlaga je lahko kisla ali nevtralna (razpršeno).</t>
  </si>
  <si>
    <t>Brezov turek</t>
  </si>
  <si>
    <t>Leccinum versipelle</t>
  </si>
  <si>
    <t>Mikoriza; v tleh pod brezami, rad ima nekoliko vlažnejša rastišča</t>
  </si>
  <si>
    <t>Trepetlikov turek (Leccinum aurantiacum) – prav tako užiten in odličen, raste pod trepetlikami/topoli.</t>
  </si>
  <si>
    <t>Močan vonj, prijeten</t>
  </si>
  <si>
    <t>Meso na prerezu najprej vinsko pordeči/posivi, nato hitro in izrazito počrni.</t>
  </si>
  <si>
    <t>Sveža priprava, juhe. Močno obarva jed v temno (črno) barvo.</t>
  </si>
  <si>
    <t>Hribovita območja in višje doline v sožitju z brezami.</t>
  </si>
  <si>
    <t>Izjemno lep okras obronkov z brezami; precej pogost in rad nabiran.</t>
  </si>
  <si>
    <t>Kisla pobočja z vlažnimi tleh in brezami.</t>
  </si>
  <si>
    <t>Hrastov turek</t>
  </si>
  <si>
    <t>Leccinum aurantiacum</t>
  </si>
  <si>
    <t>Hrast, trepetlika, topol</t>
  </si>
  <si>
    <t>Druge vrste užitnih turkov in dedov – vsi so varni in odlični za hrano.</t>
  </si>
  <si>
    <t>Na prerezu hitro pomodri, vijoliči in nato sivo-črno potemni.</t>
  </si>
  <si>
    <t>Sveža priprava, juhe in golaži.</t>
  </si>
  <si>
    <t>Svetlejši hrastovi gozdovi in nižine, pogosto ob trepetlikah.</t>
  </si>
  <si>
    <t>Redkejši kot brezovi turki, saj potrebuje hraste in trepetlike.</t>
  </si>
  <si>
    <t>Zahteva hrast/trepetliko, pogosteje na bazičnih glinastih tleh.</t>
  </si>
  <si>
    <t>Pisana ploskocevka</t>
  </si>
  <si>
    <t>Trametes versicolor</t>
  </si>
  <si>
    <t>5 – 20 °C</t>
  </si>
  <si>
    <t>Različni listavci (predvsem bukev) (Saprofit)</t>
  </si>
  <si>
    <t>Razkrajalka; raste v pahljačah na odmrlih deblih in štori. Uporabna v medicini</t>
  </si>
  <si>
    <t>Bližnje sorodne ploskocevke – nobena ni strupena, so pa vse preveč lesene za neposredno prehrano.</t>
  </si>
  <si>
    <t>Olesenel, rahel okus po gozdu</t>
  </si>
  <si>
    <t>Trd les, se ne barva.</t>
  </si>
  <si>
    <t>Neužitna v neposredni prehrani. Posušena se uporablja za medicinske čaje in izvlečke.</t>
  </si>
  <si>
    <t>Debla povsod po Sloveniji, zelo trpežna in celoletna.</t>
  </si>
  <si>
    <t>Na odmrlih deblih listavcev skozi vse leto po vsej dolini.</t>
  </si>
  <si>
    <t>Raste izključno na lesu; geološka podlaga nima vpliva.</t>
  </si>
  <si>
    <t>Tip terena</t>
  </si>
  <si>
    <t>Lokacija</t>
  </si>
  <si>
    <t>Obkljukaj (X)</t>
  </si>
  <si>
    <t>Vulkansko pogorje Smrekovca (Kisla podlaga - 'Kraljestvo Ciganke in Jurčka')</t>
  </si>
  <si>
    <t>Smrekovec (vrh in okolica)</t>
  </si>
  <si>
    <t>Komen</t>
  </si>
  <si>
    <t>Štajerski Triglav</t>
  </si>
  <si>
    <t>Krnes</t>
  </si>
  <si>
    <t>Gozdovi nad Ljubnim</t>
  </si>
  <si>
    <t>Pobočja proti Savinjskim Alpam</t>
  </si>
  <si>
    <t>Karbonatni masivi (Bazična podlaga - 'Kraljestvo Marele in Poletnega gobana')</t>
  </si>
  <si>
    <t>Golte (nad Mozirjem)</t>
  </si>
  <si>
    <t>Lepenatka</t>
  </si>
  <si>
    <t>Travnik (pod Raduho)</t>
  </si>
  <si>
    <t>Menina planina (obrobje)</t>
  </si>
  <si>
    <t>Dleskovška planota</t>
  </si>
  <si>
    <t>Gozdovi pod Raduho</t>
  </si>
  <si>
    <t>Rečni logi in dolinske terase (Vlažna podlaga - 'Kraljestvo Smrčkov in Uhljevk')</t>
  </si>
  <si>
    <t>Obrežje Savinje (Rečica – Ljubno)</t>
  </si>
  <si>
    <t>Logi ob Dreti (Gornji Grad – Nazarje)</t>
  </si>
  <si>
    <t>Okolica Mozirskega gaja</t>
  </si>
  <si>
    <t>Beli potok (soteska)</t>
  </si>
  <si>
    <t>STROGO ZAŠČITENA OBMOČJA (Nabiranje PREPOVEDANO)</t>
  </si>
  <si>
    <t>Krajinski park Logarska dolina</t>
  </si>
  <si>
    <t>Robanov kot</t>
  </si>
  <si>
    <t>Matkov kot</t>
  </si>
  <si>
    <t>Statistični pregled baze gob</t>
  </si>
  <si>
    <t>Kategorija užitnosti</t>
  </si>
  <si>
    <t>Število vrst</t>
  </si>
  <si>
    <t>Skupaj</t>
  </si>
</sst>
</file>

<file path=xl/styles.xml><?xml version="1.0" encoding="utf-8"?>
<styleSheet xmlns="http://schemas.openxmlformats.org/spreadsheetml/2006/main">
  <numFmts count="1">
    <numFmt numFmtId="0" formatCode="General"/>
  </numFmts>
  <fonts count="16">
    <font>
      <name val="Calibri"/>
      <sz val="11"/>
    </font>
    <font>
      <name val="Segoe UI"/>
      <b/>
      <sz val="16"/>
      <color rgb="FF1E4620"/>
    </font>
    <font>
      <name val="Segoe UI"/>
      <i/>
      <sz val="11"/>
      <color rgb="FF555555"/>
    </font>
    <font>
      <name val="Segoe UI"/>
      <b/>
      <sz val="12"/>
      <color rgb="FF1E4620"/>
    </font>
    <font>
      <name val="Segoe UI"/>
      <sz val="10"/>
    </font>
    <font>
      <name val="Segoe UI"/>
      <b/>
      <sz val="11"/>
      <color rgb="FFFFFFFF"/>
    </font>
    <font>
      <name val="Segoe UI"/>
      <b/>
      <sz val="10"/>
      <color rgb="FF155724"/>
    </font>
    <font>
      <name val="Segoe UI"/>
      <b/>
      <sz val="10"/>
      <color rgb="FF856404"/>
    </font>
    <font>
      <name val="Segoe UI"/>
      <b/>
      <sz val="10"/>
      <color rgb="FF383D41"/>
    </font>
    <font>
      <name val="Segoe UI"/>
      <b/>
      <sz val="10"/>
      <color rgb="FF721C24"/>
    </font>
    <font>
      <name val="Segoe UI"/>
      <b/>
      <sz val="10"/>
      <color rgb="FF0C5460"/>
    </font>
    <font>
      <name val="Segoe UI"/>
      <b/>
      <sz val="11"/>
    </font>
    <font>
      <name val="Segoe UI"/>
      <b/>
      <sz val="12"/>
      <color rgb="FFFFFFFF"/>
    </font>
    <font>
      <name val="Segoe UI"/>
      <b/>
      <sz val="11"/>
      <color rgb="FF1E4620"/>
    </font>
    <font>
      <name val="Segoe UI"/>
      <sz val="11"/>
    </font>
    <font>
      <name val="Calibri"/>
      <sz val="11"/>
      <color rgb="FF000000"/>
    </font>
  </fonts>
  <fills count="10">
    <fill>
      <patternFill patternType="none"/>
    </fill>
    <fill>
      <patternFill patternType="gray125"/>
    </fill>
    <fill>
      <patternFill patternType="solid">
        <fgColor rgb="FF1E4620"/>
        <bgColor rgb="FF1E4620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E2E3E5"/>
        <bgColor rgb="FFE2E3E5"/>
      </patternFill>
    </fill>
    <fill>
      <patternFill patternType="solid">
        <fgColor rgb="FFFFCDD2"/>
        <bgColor rgb="FFFFCDD2"/>
      </patternFill>
    </fill>
    <fill>
      <patternFill patternType="solid">
        <fgColor rgb="FFF8D7DA"/>
        <bgColor rgb="FFF8D7DA"/>
      </patternFill>
    </fill>
    <fill>
      <patternFill patternType="solid">
        <fgColor rgb="FFD1ECF1"/>
        <bgColor rgb="FFD1ECF1"/>
      </patternFill>
    </fill>
    <fill>
      <patternFill patternType="solid">
        <fgColor rgb="FFF4F8F4"/>
        <bgColor rgb="FFF4F8F4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1" fillId="0" borderId="0" xfId="0" applyAlignment="1">
      <alignment vertical="bottom"/>
    </xf>
    <xf numFmtId="0" fontId="2" fillId="0" borderId="0" xfId="0" applyAlignment="1">
      <alignment vertical="bottom"/>
    </xf>
    <xf numFmtId="0" fontId="3" fillId="0" borderId="0" xfId="0" applyAlignment="1">
      <alignment vertical="bottom"/>
    </xf>
    <xf numFmtId="0" fontId="4" fillId="0" borderId="0" xfId="0" applyAlignment="1">
      <alignment vertical="bottom"/>
    </xf>
    <xf numFmtId="0" fontId="5" fillId="2" borderId="1" xfId="0" applyAlignment="1">
      <alignment horizontal="left" vertical="center" wrapText="1"/>
    </xf>
    <xf numFmtId="0" fontId="6" fillId="3" borderId="1" xfId="0" applyAlignment="1">
      <alignment horizontal="center" vertical="center" wrapText="1"/>
    </xf>
    <xf numFmtId="0" fontId="4" fillId="0" borderId="1" xfId="0" applyAlignment="1">
      <alignment horizontal="left" vertical="center" wrapText="1"/>
    </xf>
    <xf numFmtId="0" fontId="7" fillId="4" borderId="1" xfId="0" applyAlignment="1">
      <alignment horizontal="center" vertical="center" wrapText="1"/>
    </xf>
    <xf numFmtId="0" fontId="8" fillId="5" borderId="1" xfId="0" applyAlignment="1">
      <alignment horizontal="center" vertical="center" wrapText="1"/>
    </xf>
    <xf numFmtId="0" fontId="9" fillId="6" borderId="1" xfId="0" applyAlignment="1">
      <alignment horizontal="center" vertical="center" wrapText="1"/>
    </xf>
    <xf numFmtId="0" fontId="9" fillId="7" borderId="1" xfId="0" applyAlignment="1">
      <alignment horizontal="center" vertical="center" wrapText="1"/>
    </xf>
    <xf numFmtId="0" fontId="10" fillId="8" borderId="1" xfId="0" applyAlignment="1">
      <alignment horizontal="center" vertical="center" wrapText="1"/>
    </xf>
    <xf numFmtId="0" fontId="5" fillId="2" borderId="1" xfId="0" applyAlignment="1">
      <alignment horizontal="center" vertical="center" wrapText="1"/>
    </xf>
    <xf numFmtId="0" fontId="11" fillId="9" borderId="1" xfId="0" applyAlignment="1">
      <alignment horizontal="left" vertical="center" wrapText="1"/>
    </xf>
    <xf numFmtId="0" fontId="4" fillId="9" borderId="1" xfId="0" applyAlignment="1">
      <alignment horizontal="left" vertical="center" wrapText="1"/>
    </xf>
    <xf numFmtId="0" fontId="4" fillId="9" borderId="1" xfId="0" applyAlignment="1">
      <alignment horizontal="center" vertical="center" wrapText="1"/>
    </xf>
    <xf numFmtId="0" fontId="4" fillId="9" borderId="1" xfId="0" applyAlignment="1">
      <alignment horizontal="center" vertical="center"/>
    </xf>
    <xf numFmtId="0" fontId="11" fillId="0" borderId="1" xfId="0" applyAlignment="1">
      <alignment horizontal="left" vertical="center" wrapText="1"/>
    </xf>
    <xf numFmtId="0" fontId="4" fillId="0" borderId="1" xfId="0" applyAlignment="1">
      <alignment horizontal="center" vertical="center" wrapText="1"/>
    </xf>
    <xf numFmtId="0" fontId="4" fillId="0" borderId="1" xfId="0" applyAlignment="1">
      <alignment horizontal="center" vertical="center"/>
    </xf>
    <xf numFmtId="0" fontId="11" fillId="0" borderId="1" xfId="0" applyAlignment="1">
      <alignment horizontal="center" vertical="center" wrapText="1"/>
    </xf>
    <xf numFmtId="0" fontId="11" fillId="0" borderId="2" xfId="0" applyAlignment="1">
      <alignment horizontal="left" vertical="center" wrapText="1"/>
    </xf>
    <xf numFmtId="0" fontId="11" fillId="0" borderId="2" xfId="0" applyAlignment="1">
      <alignment horizontal="center" vertical="center" wrapText="1"/>
    </xf>
    <xf numFmtId="0" fontId="12" fillId="2" borderId="0" xfId="0" applyAlignment="1">
      <alignment vertical="bottom"/>
    </xf>
    <xf numFmtId="0" fontId="13" fillId="0" borderId="0" xfId="0" applyAlignment="1">
      <alignment horizontal="left" vertical="center"/>
    </xf>
    <xf numFmtId="0" fontId="14" fillId="0" borderId="1" xfId="0" applyAlignment="1">
      <alignment vertical="bottom"/>
    </xf>
    <xf numFmtId="0" fontId="15" fillId="0" borderId="1" xfId="0" applyAlignment="1">
      <alignment horizontal="center" vertical="center"/>
    </xf>
  </cellXfs>
  <cellStyles count="1">
    <cellStyle name="常规" xfId="0" builtinId="0"/>
  </cellStyles>
  <dxfs count="7">
    <dxf>
      <font>
        <b/>
        <sz val="10"/>
        <color rgb="FF856404"/>
      </font>
      <fill>
        <patternFill patternType="solid">
          <fgColor rgb="FFFFE0B2"/>
          <bgColor rgb="FFFFE0B2"/>
        </patternFill>
      </fill>
    </dxf>
    <dxf>
      <font>
        <b/>
        <sz val="10"/>
        <color rgb="FF721C24"/>
      </font>
      <fill>
        <patternFill patternType="solid">
          <fgColor rgb="FFFFCDD2"/>
          <bgColor rgb="FFFFCDD2"/>
        </patternFill>
      </fill>
    </dxf>
    <dxf>
      <font>
        <b/>
        <sz val="10"/>
        <color rgb="FF383D41"/>
      </font>
      <fill>
        <patternFill patternType="solid">
          <fgColor rgb="FFE2E3E5"/>
          <bgColor rgb="FFE2E3E5"/>
        </patternFill>
      </fill>
    </dxf>
    <dxf>
      <font>
        <b/>
        <sz val="10"/>
        <color rgb="FF721C24"/>
      </font>
      <fill>
        <patternFill patternType="solid">
          <fgColor rgb="FFF8D7DA"/>
          <bgColor rgb="FFF8D7DA"/>
        </patternFill>
      </fill>
    </dxf>
    <dxf>
      <font>
        <b/>
        <sz val="10"/>
        <color rgb="FF0C5460"/>
      </font>
      <fill>
        <patternFill patternType="solid">
          <fgColor rgb="FFD1ECF1"/>
          <bgColor rgb="FFD1ECF1"/>
        </patternFill>
      </fill>
    </dxf>
    <dxf>
      <font>
        <b/>
        <sz val="10"/>
        <color rgb="FF721C24"/>
      </font>
      <fill>
        <patternFill patternType="solid">
          <fgColor rgb="FFFFCDD2"/>
          <bgColor rgb="FFFFCDD2"/>
        </patternFill>
      </fill>
    </dxf>
    <dxf>
      <font>
        <b/>
        <sz val="10"/>
        <color rgb="FF155724"/>
      </font>
      <fill>
        <patternFill patternType="solid">
          <fgColor rgb="FFC8E6C9"/>
          <bgColor rgb="FFC8E6C9"/>
        </patternFill>
      </fill>
    </dxf>
  </dxfs>
  <tableStyles defaultTableStyle="TableStyleMedium9" defaultPivotStyle="PivotStyleLight16"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www.wps.cn/officeDocument/2020/cellImage" Target="cellimages.xml"/><Relationship Id="rId6" Type="http://schemas.openxmlformats.org/officeDocument/2006/relationships/sharedStrings" Target="sharedStrings.xml"/><Relationship Id="rId7" Type="http://schemas.openxmlformats.org/officeDocument/2006/relationships/styles" Target="styles.xml"/><Relationship Id="rId8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/>
            </a:pPr>
            <a:r>
              <a:t>Porazdelitev gob glede na užitnost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Analitika!B3</c:f>
              <c:strCache>
                <c:ptCount val="1"/>
                <c:pt idx="0">
                  <c:v>Število vrst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Analitika!$A$4:$A$10</c:f>
              <c:strCache>
                <c:ptCount val="7"/>
                <c:pt idx="0">
                  <c:v>Užitna</c:v>
                </c:pt>
                <c:pt idx="1">
                  <c:v>Pogojno užitna</c:v>
                </c:pt>
                <c:pt idx="2">
                  <c:v>Neužitna</c:v>
                </c:pt>
                <c:pt idx="3">
                  <c:v>Strupena</c:v>
                </c:pt>
                <c:pt idx="4">
                  <c:v>Zelo strupena</c:v>
                </c:pt>
                <c:pt idx="5">
                  <c:v>Smrtno strupena</c:v>
                </c:pt>
                <c:pt idx="6">
                  <c:v>ZAŠČITENA</c:v>
                </c:pt>
              </c:strCache>
            </c:strRef>
          </c:cat>
          <c:val>
            <c:numRef>
              <c:f>Analitika!$B$4:$B$10</c:f>
              <c:numCache>
                <c:formatCode>General</c:formatCode>
                <c:ptCount val="7"/>
                <c:pt idx="0">
                  <c:v>32.0</c:v>
                </c:pt>
                <c:pt idx="1">
                  <c:v>4.0</c:v>
                </c:pt>
                <c:pt idx="2">
                  <c:v>2.0</c:v>
                </c:pt>
                <c:pt idx="3">
                  <c:v>6.0</c:v>
                </c:pt>
                <c:pt idx="4">
                  <c:v>2.0</c:v>
                </c:pt>
                <c:pt idx="5">
                  <c:v>3.0</c:v>
                </c:pt>
                <c:pt idx="6">
                  <c:v>1.0</c:v>
                </c:pt>
              </c:numCache>
            </c:numRef>
          </c:val>
        </c:ser>
        <c:firstSliceAng val="0"/>
      </c:pieChart>
    </c:plotArea>
    <c:legend>
      <c:legendPos val="r"/>
    </c:legend>
    <c:plotVisOnly val="1"/>
    <c:dispBlanksAs val="gap"/>
  </c:chart>
</c:chartSpace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9</xdr:col>
      <xdr:colOff>505046</xdr:colOff>
      <xdr:row>22</xdr:row>
      <xdr:rowOff>149572</xdr:rowOff>
    </xdr:to>
    <xdr:graphicFrame macro="">
      <xdr:nvGraphicFramePr>
        <xdr:cNvPr name="图表 1" id="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C20"/>
  <sheetViews>
    <sheetView workbookViewId="0" topLeftCell="A27">
      <selection activeCell="A1" sqref="A1"/>
    </sheetView>
  </sheetViews>
  <sheetFormatPr defaultRowHeight="15.0" defaultColWidth="10"/>
  <cols>
    <col min="1" max="1" customWidth="1" width="50.0" style="0"/>
    <col min="2" max="2" customWidth="1" width="50.0" style="0"/>
  </cols>
  <sheetData>
    <row r="1" spans="8:8">
      <c r="A1" s="1" t="s">
        <v>0</v>
      </c>
    </row>
    <row r="2" spans="8:8">
      <c r="A2" s="2" t="s">
        <v>1</v>
      </c>
    </row>
    <row r="4" spans="8:8">
      <c r="A4" s="3" t="s">
        <v>2</v>
      </c>
    </row>
    <row r="5" spans="8:8">
      <c r="A5" s="4" t="s">
        <v>3</v>
      </c>
    </row>
    <row r="6" spans="8:8">
      <c r="A6" s="4" t="s">
        <v>4</v>
      </c>
    </row>
    <row r="7" spans="8:8">
      <c r="A7" s="4" t="s">
        <v>5</v>
      </c>
    </row>
    <row r="8" spans="8:8">
      <c r="A8" s="4" t="s">
        <v>6</v>
      </c>
    </row>
    <row r="9" spans="8:8">
      <c r="A9" s="4" t="s">
        <v>7</v>
      </c>
    </row>
    <row r="12" spans="8:8">
      <c r="A12" s="3" t="s">
        <v>8</v>
      </c>
    </row>
    <row r="14" spans="8:8">
      <c r="A14" s="5" t="s">
        <v>9</v>
      </c>
      <c r="B14" s="5" t="s">
        <v>10</v>
      </c>
    </row>
    <row r="15" spans="8:8">
      <c r="A15" s="6" t="s">
        <v>11</v>
      </c>
      <c r="B15" s="7" t="s">
        <v>12</v>
      </c>
    </row>
    <row r="16" spans="8:8">
      <c r="A16" s="8" t="s">
        <v>13</v>
      </c>
      <c r="B16" s="7" t="s">
        <v>14</v>
      </c>
    </row>
    <row r="17" spans="8:8">
      <c r="A17" s="9" t="s">
        <v>15</v>
      </c>
      <c r="B17" s="7" t="s">
        <v>16</v>
      </c>
    </row>
    <row r="18" spans="8:8">
      <c r="A18" s="10" t="s">
        <v>17</v>
      </c>
      <c r="B18" s="7" t="s">
        <v>18</v>
      </c>
    </row>
    <row r="19" spans="8:8">
      <c r="A19" s="11" t="s">
        <v>19</v>
      </c>
      <c r="B19" s="7" t="s">
        <v>20</v>
      </c>
    </row>
    <row r="20" spans="8:8">
      <c r="A20" s="12" t="s">
        <v>21</v>
      </c>
      <c r="B20" s="7" t="s">
        <v>22</v>
      </c>
    </row>
  </sheetData>
  <pageMargins left="0.75" right="0.75" top="1.0" bottom="1.0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dimension ref="A1:T52"/>
  <sheetViews>
    <sheetView tabSelected="1" workbookViewId="0">
      <pane xSplit="2" ySplit="1" topLeftCell="J2" state="frozen" activePane="bottomRight"/>
      <selection pane="bottomRight" activeCell="A1" sqref="A1"/>
    </sheetView>
  </sheetViews>
  <sheetFormatPr defaultRowHeight="15.0" defaultColWidth="10"/>
  <cols>
    <col min="1" max="1" customWidth="1" width="33.0" style="0"/>
    <col min="2" max="2" customWidth="1" width="29.0" style="0"/>
    <col min="3" max="3" customWidth="1" width="18.0" style="0"/>
    <col min="4" max="4" customWidth="1" width="15.0" style="0"/>
    <col min="5" max="5" customWidth="1" width="20.0" style="0"/>
    <col min="6" max="6" customWidth="1" width="50.0" style="0"/>
    <col min="7" max="7" customWidth="1" width="50.0" style="0"/>
    <col min="8" max="8" customWidth="1" width="50.0" style="0"/>
    <col min="9" max="9" customWidth="1" width="50.0" style="0"/>
    <col min="10" max="10" customWidth="1" width="35.0" style="0"/>
    <col min="11" max="11" customWidth="1" width="35.0" style="0"/>
    <col min="12" max="12" customWidth="1" width="35.0" style="0"/>
    <col min="13" max="13" customWidth="1" width="35.0" style="0"/>
    <col min="14" max="14" customWidth="1" width="45.0" style="0"/>
    <col min="15" max="15" customWidth="1" width="45.0" style="0"/>
    <col min="16" max="16" customWidth="1" width="20.0" style="0"/>
    <col min="17" max="17" customWidth="1" width="20.0" style="0"/>
    <col min="18" max="18" customWidth="1" width="20.0" style="0"/>
    <col min="19" max="19" customWidth="1" width="20.0" style="0"/>
  </cols>
  <sheetData>
    <row r="1" spans="8:8" ht="28.0" customHeight="1">
      <c r="A1" s="13" t="s">
        <v>23</v>
      </c>
      <c r="B1" s="13" t="s">
        <v>24</v>
      </c>
      <c r="C1" s="13" t="s">
        <v>25</v>
      </c>
      <c r="D1" s="13" t="s">
        <v>26</v>
      </c>
      <c r="E1" s="13" t="s">
        <v>27</v>
      </c>
      <c r="F1" s="13" t="s">
        <v>28</v>
      </c>
      <c r="G1" s="13" t="s">
        <v>29</v>
      </c>
      <c r="H1" s="13" t="s">
        <v>30</v>
      </c>
      <c r="I1" s="13" t="s">
        <v>31</v>
      </c>
      <c r="J1" s="13" t="s">
        <v>32</v>
      </c>
      <c r="K1" s="13" t="s">
        <v>33</v>
      </c>
      <c r="L1" s="13" t="s">
        <v>34</v>
      </c>
      <c r="M1" s="13" t="s">
        <v>35</v>
      </c>
      <c r="N1" s="13" t="s">
        <v>36</v>
      </c>
      <c r="O1" s="13" t="s">
        <v>37</v>
      </c>
      <c r="P1" s="13" t="s">
        <v>38</v>
      </c>
      <c r="Q1" s="13" t="s">
        <v>39</v>
      </c>
      <c r="R1" s="13" t="s">
        <v>40</v>
      </c>
      <c r="S1" s="13" t="s">
        <v>41</v>
      </c>
    </row>
    <row r="2" spans="8:8" ht="24.0" customHeight="1">
      <c r="A2" s="14" t="s">
        <v>42</v>
      </c>
      <c r="B2" s="15" t="s">
        <v>43</v>
      </c>
      <c r="C2" s="16" t="s">
        <v>11</v>
      </c>
      <c r="D2" s="16" t="s">
        <v>44</v>
      </c>
      <c r="E2" s="16" t="s">
        <v>45</v>
      </c>
      <c r="F2" s="15" t="s">
        <v>46</v>
      </c>
      <c r="G2" s="15" t="s">
        <v>47</v>
      </c>
      <c r="H2" s="15" t="s">
        <v>48</v>
      </c>
      <c r="I2" s="15" t="s">
        <v>49</v>
      </c>
      <c r="J2" s="15" t="s">
        <v>50</v>
      </c>
      <c r="K2" s="15" t="s">
        <v>51</v>
      </c>
      <c r="L2" s="15" t="s">
        <v>52</v>
      </c>
      <c r="M2" s="15" t="s">
        <v>53</v>
      </c>
      <c r="N2" s="15" t="s">
        <v>54</v>
      </c>
      <c r="O2" s="15" t="s">
        <v>55</v>
      </c>
      <c r="P2" s="17" t="s">
        <v>56</v>
      </c>
      <c r="Q2" s="17" t="s">
        <v>57</v>
      </c>
      <c r="R2" s="17" t="s">
        <v>58</v>
      </c>
      <c r="S2" s="17"/>
    </row>
    <row r="3" spans="8:8" ht="24.0" customHeight="1">
      <c r="A3" s="18" t="s">
        <v>59</v>
      </c>
      <c r="B3" s="7" t="s">
        <v>60</v>
      </c>
      <c r="C3" s="19" t="s">
        <v>11</v>
      </c>
      <c r="D3" s="19" t="s">
        <v>61</v>
      </c>
      <c r="E3" s="19" t="s">
        <v>62</v>
      </c>
      <c r="F3" s="7" t="s">
        <v>63</v>
      </c>
      <c r="G3" s="7" t="s">
        <v>64</v>
      </c>
      <c r="H3" s="7" t="s">
        <v>65</v>
      </c>
      <c r="I3" s="7" t="s">
        <v>66</v>
      </c>
      <c r="J3" s="7" t="s">
        <v>67</v>
      </c>
      <c r="K3" s="7" t="s">
        <v>68</v>
      </c>
      <c r="L3" s="7" t="s">
        <v>69</v>
      </c>
      <c r="M3" s="7" t="s">
        <v>70</v>
      </c>
      <c r="N3" s="7" t="s">
        <v>71</v>
      </c>
      <c r="O3" s="7" t="s">
        <v>72</v>
      </c>
      <c r="P3" s="20" t="s">
        <v>56</v>
      </c>
      <c r="Q3" s="20" t="s">
        <v>57</v>
      </c>
      <c r="R3" s="20" t="s">
        <v>58</v>
      </c>
      <c r="S3" s="20"/>
    </row>
    <row r="4" spans="8:8" ht="24.0" customHeight="1">
      <c r="A4" s="14" t="s">
        <v>73</v>
      </c>
      <c r="B4" s="15" t="s">
        <v>74</v>
      </c>
      <c r="C4" s="16" t="s">
        <v>11</v>
      </c>
      <c r="D4" s="16" t="s">
        <v>75</v>
      </c>
      <c r="E4" s="16" t="s">
        <v>76</v>
      </c>
      <c r="F4" s="15" t="s">
        <v>77</v>
      </c>
      <c r="G4" s="15" t="s">
        <v>78</v>
      </c>
      <c r="H4" s="15" t="s">
        <v>79</v>
      </c>
      <c r="I4" s="15" t="s">
        <v>80</v>
      </c>
      <c r="J4" s="15" t="s">
        <v>81</v>
      </c>
      <c r="K4" s="15" t="s">
        <v>82</v>
      </c>
      <c r="L4" s="15" t="s">
        <v>83</v>
      </c>
      <c r="M4" s="15" t="s">
        <v>84</v>
      </c>
      <c r="N4" s="15" t="s">
        <v>85</v>
      </c>
      <c r="O4" s="15" t="s">
        <v>86</v>
      </c>
      <c r="P4" s="17" t="s">
        <v>56</v>
      </c>
      <c r="Q4" s="17" t="s">
        <v>57</v>
      </c>
      <c r="R4" s="17" t="s">
        <v>58</v>
      </c>
      <c r="S4" s="17"/>
    </row>
    <row r="5" spans="8:8" ht="24.0" customHeight="1">
      <c r="A5" s="18" t="s">
        <v>87</v>
      </c>
      <c r="B5" s="7" t="s">
        <v>88</v>
      </c>
      <c r="C5" s="19" t="s">
        <v>11</v>
      </c>
      <c r="D5" s="19" t="s">
        <v>89</v>
      </c>
      <c r="E5" s="19" t="s">
        <v>90</v>
      </c>
      <c r="F5" s="7" t="s">
        <v>91</v>
      </c>
      <c r="G5" s="7" t="s">
        <v>92</v>
      </c>
      <c r="H5" s="7" t="s">
        <v>65</v>
      </c>
      <c r="I5" s="7" t="s">
        <v>93</v>
      </c>
      <c r="J5" s="7" t="s">
        <v>94</v>
      </c>
      <c r="K5" s="7" t="s">
        <v>95</v>
      </c>
      <c r="L5" s="7" t="s">
        <v>96</v>
      </c>
      <c r="M5" s="7" t="s">
        <v>97</v>
      </c>
      <c r="N5" s="7" t="s">
        <v>98</v>
      </c>
      <c r="O5" s="7" t="s">
        <v>99</v>
      </c>
      <c r="P5" s="20" t="s">
        <v>56</v>
      </c>
      <c r="Q5" s="20" t="s">
        <v>57</v>
      </c>
      <c r="R5" s="20" t="s">
        <v>58</v>
      </c>
      <c r="S5" s="20"/>
    </row>
    <row r="6" spans="8:8" ht="24.0" customHeight="1">
      <c r="A6" s="14" t="s">
        <v>100</v>
      </c>
      <c r="B6" s="15" t="s">
        <v>101</v>
      </c>
      <c r="C6" s="16" t="s">
        <v>13</v>
      </c>
      <c r="D6" s="16" t="s">
        <v>75</v>
      </c>
      <c r="E6" s="16" t="s">
        <v>102</v>
      </c>
      <c r="F6" s="15" t="s">
        <v>103</v>
      </c>
      <c r="G6" s="15" t="s">
        <v>104</v>
      </c>
      <c r="H6" s="15" t="s">
        <v>105</v>
      </c>
      <c r="I6" s="15" t="s">
        <v>106</v>
      </c>
      <c r="J6" s="15" t="s">
        <v>107</v>
      </c>
      <c r="K6" s="15" t="s">
        <v>108</v>
      </c>
      <c r="L6" s="15" t="s">
        <v>109</v>
      </c>
      <c r="M6" s="15" t="s">
        <v>110</v>
      </c>
      <c r="N6" s="15" t="s">
        <v>111</v>
      </c>
      <c r="O6" s="15" t="s">
        <v>112</v>
      </c>
      <c r="P6" s="17" t="s">
        <v>113</v>
      </c>
      <c r="Q6" s="17" t="s">
        <v>114</v>
      </c>
      <c r="R6" s="17" t="s">
        <v>58</v>
      </c>
      <c r="S6" s="17"/>
    </row>
    <row r="7" spans="8:8" ht="24.0" customHeight="1">
      <c r="A7" s="18" t="s">
        <v>115</v>
      </c>
      <c r="B7" s="7" t="s">
        <v>116</v>
      </c>
      <c r="C7" s="19" t="s">
        <v>11</v>
      </c>
      <c r="D7" s="19" t="s">
        <v>117</v>
      </c>
      <c r="E7" s="19" t="s">
        <v>118</v>
      </c>
      <c r="F7" s="7" t="s">
        <v>119</v>
      </c>
      <c r="G7" s="7" t="s">
        <v>120</v>
      </c>
      <c r="H7" s="7" t="s">
        <v>121</v>
      </c>
      <c r="I7" s="7" t="s">
        <v>122</v>
      </c>
      <c r="J7" s="7" t="s">
        <v>123</v>
      </c>
      <c r="K7" s="7" t="s">
        <v>124</v>
      </c>
      <c r="L7" s="7" t="s">
        <v>125</v>
      </c>
      <c r="M7" s="7" t="s">
        <v>126</v>
      </c>
      <c r="N7" s="7" t="s">
        <v>127</v>
      </c>
      <c r="O7" s="7" t="s">
        <v>128</v>
      </c>
      <c r="P7" s="20" t="s">
        <v>113</v>
      </c>
      <c r="Q7" s="20" t="s">
        <v>114</v>
      </c>
      <c r="R7" s="20" t="s">
        <v>58</v>
      </c>
      <c r="S7" s="20"/>
    </row>
    <row r="8" spans="8:8" ht="24.0" customHeight="1">
      <c r="A8" s="14" t="s">
        <v>129</v>
      </c>
      <c r="B8" s="15" t="s">
        <v>130</v>
      </c>
      <c r="C8" s="16" t="s">
        <v>11</v>
      </c>
      <c r="D8" s="16" t="s">
        <v>117</v>
      </c>
      <c r="E8" s="16" t="s">
        <v>102</v>
      </c>
      <c r="F8" s="15" t="s">
        <v>131</v>
      </c>
      <c r="G8" s="15" t="s">
        <v>132</v>
      </c>
      <c r="H8" s="15" t="s">
        <v>48</v>
      </c>
      <c r="I8" s="15" t="s">
        <v>133</v>
      </c>
      <c r="J8" s="15" t="s">
        <v>134</v>
      </c>
      <c r="K8" s="15" t="s">
        <v>135</v>
      </c>
      <c r="L8" s="15" t="s">
        <v>136</v>
      </c>
      <c r="M8" s="15" t="s">
        <v>137</v>
      </c>
      <c r="N8" s="15" t="s">
        <v>138</v>
      </c>
      <c r="O8" s="15" t="s">
        <v>139</v>
      </c>
      <c r="P8" s="17" t="s">
        <v>113</v>
      </c>
      <c r="Q8" s="17" t="s">
        <v>114</v>
      </c>
      <c r="R8" s="17" t="s">
        <v>58</v>
      </c>
      <c r="S8" s="17"/>
    </row>
    <row r="9" spans="8:8" ht="24.0" customHeight="1">
      <c r="A9" s="18" t="s">
        <v>140</v>
      </c>
      <c r="B9" s="7" t="s">
        <v>141</v>
      </c>
      <c r="C9" s="19" t="s">
        <v>11</v>
      </c>
      <c r="D9" s="19" t="s">
        <v>117</v>
      </c>
      <c r="E9" s="19" t="s">
        <v>142</v>
      </c>
      <c r="F9" s="7" t="s">
        <v>143</v>
      </c>
      <c r="G9" s="7" t="s">
        <v>144</v>
      </c>
      <c r="H9" s="7" t="s">
        <v>145</v>
      </c>
      <c r="I9" s="7" t="s">
        <v>146</v>
      </c>
      <c r="J9" s="7" t="s">
        <v>147</v>
      </c>
      <c r="K9" s="7" t="s">
        <v>148</v>
      </c>
      <c r="L9" s="7" t="s">
        <v>149</v>
      </c>
      <c r="M9" s="7" t="s">
        <v>150</v>
      </c>
      <c r="N9" s="7" t="s">
        <v>151</v>
      </c>
      <c r="O9" s="7" t="s">
        <v>152</v>
      </c>
      <c r="P9" s="20" t="s">
        <v>113</v>
      </c>
      <c r="Q9" s="20" t="s">
        <v>114</v>
      </c>
      <c r="R9" s="20" t="s">
        <v>58</v>
      </c>
      <c r="S9" s="20"/>
    </row>
    <row r="10" spans="8:8" ht="24.0" customHeight="1">
      <c r="A10" s="14" t="s">
        <v>153</v>
      </c>
      <c r="B10" s="15" t="s">
        <v>154</v>
      </c>
      <c r="C10" s="16" t="s">
        <v>155</v>
      </c>
      <c r="D10" s="16" t="s">
        <v>156</v>
      </c>
      <c r="E10" s="16" t="s">
        <v>157</v>
      </c>
      <c r="F10" s="15" t="s">
        <v>158</v>
      </c>
      <c r="G10" s="15" t="s">
        <v>159</v>
      </c>
      <c r="H10" s="15" t="s">
        <v>160</v>
      </c>
      <c r="I10" s="15" t="s">
        <v>161</v>
      </c>
      <c r="J10" s="15" t="s">
        <v>162</v>
      </c>
      <c r="K10" s="15" t="s">
        <v>163</v>
      </c>
      <c r="L10" s="15" t="s">
        <v>164</v>
      </c>
      <c r="M10" s="15" t="s">
        <v>165</v>
      </c>
      <c r="N10" s="15" t="s">
        <v>166</v>
      </c>
      <c r="O10" s="15" t="s">
        <v>167</v>
      </c>
      <c r="P10" s="17" t="s">
        <v>113</v>
      </c>
      <c r="Q10" s="17" t="s">
        <v>114</v>
      </c>
      <c r="R10" s="17" t="s">
        <v>58</v>
      </c>
      <c r="S10" s="17"/>
    </row>
    <row r="11" spans="8:8" ht="24.0" customHeight="1">
      <c r="A11" s="18" t="s">
        <v>168</v>
      </c>
      <c r="B11" s="7" t="s">
        <v>169</v>
      </c>
      <c r="C11" s="19" t="s">
        <v>15</v>
      </c>
      <c r="D11" s="19" t="s">
        <v>170</v>
      </c>
      <c r="E11" s="19" t="s">
        <v>171</v>
      </c>
      <c r="F11" s="7" t="s">
        <v>172</v>
      </c>
      <c r="G11" s="7" t="s">
        <v>173</v>
      </c>
      <c r="H11" s="7" t="s">
        <v>174</v>
      </c>
      <c r="I11" s="7" t="s">
        <v>175</v>
      </c>
      <c r="J11" s="7" t="s">
        <v>176</v>
      </c>
      <c r="K11" s="7" t="s">
        <v>177</v>
      </c>
      <c r="L11" s="7" t="s">
        <v>178</v>
      </c>
      <c r="M11" s="7" t="s">
        <v>179</v>
      </c>
      <c r="N11" s="7" t="s">
        <v>180</v>
      </c>
      <c r="O11" s="7" t="s">
        <v>181</v>
      </c>
      <c r="P11" s="20" t="s">
        <v>113</v>
      </c>
      <c r="Q11" s="20" t="s">
        <v>114</v>
      </c>
      <c r="R11" s="20" t="s">
        <v>58</v>
      </c>
      <c r="S11" s="20"/>
    </row>
    <row r="12" spans="8:8" ht="24.0" customHeight="1">
      <c r="A12" s="14" t="s">
        <v>182</v>
      </c>
      <c r="B12" s="15" t="s">
        <v>183</v>
      </c>
      <c r="C12" s="16" t="s">
        <v>11</v>
      </c>
      <c r="D12" s="16" t="s">
        <v>75</v>
      </c>
      <c r="E12" s="16" t="s">
        <v>184</v>
      </c>
      <c r="F12" s="15" t="s">
        <v>46</v>
      </c>
      <c r="G12" s="15" t="s">
        <v>185</v>
      </c>
      <c r="H12" s="15" t="s">
        <v>186</v>
      </c>
      <c r="I12" s="15" t="s">
        <v>187</v>
      </c>
      <c r="J12" s="15" t="s">
        <v>188</v>
      </c>
      <c r="K12" s="15" t="s">
        <v>189</v>
      </c>
      <c r="L12" s="15" t="s">
        <v>190</v>
      </c>
      <c r="M12" s="15" t="s">
        <v>191</v>
      </c>
      <c r="N12" s="15" t="s">
        <v>192</v>
      </c>
      <c r="O12" s="15" t="s">
        <v>193</v>
      </c>
      <c r="P12" s="17" t="s">
        <v>194</v>
      </c>
      <c r="Q12" s="17" t="s">
        <v>195</v>
      </c>
      <c r="R12" s="17" t="s">
        <v>58</v>
      </c>
      <c r="S12" s="17"/>
    </row>
    <row r="13" spans="8:8" ht="24.0" customHeight="1">
      <c r="A13" s="18" t="s">
        <v>196</v>
      </c>
      <c r="B13" s="7" t="s">
        <v>197</v>
      </c>
      <c r="C13" s="19" t="s">
        <v>11</v>
      </c>
      <c r="D13" s="19" t="s">
        <v>198</v>
      </c>
      <c r="E13" s="19" t="s">
        <v>199</v>
      </c>
      <c r="F13" s="7" t="s">
        <v>200</v>
      </c>
      <c r="G13" s="7" t="s">
        <v>201</v>
      </c>
      <c r="H13" s="7" t="s">
        <v>202</v>
      </c>
      <c r="I13" s="7" t="s">
        <v>203</v>
      </c>
      <c r="J13" s="7" t="s">
        <v>204</v>
      </c>
      <c r="K13" s="7" t="s">
        <v>205</v>
      </c>
      <c r="L13" s="7" t="s">
        <v>206</v>
      </c>
      <c r="M13" s="7" t="s">
        <v>207</v>
      </c>
      <c r="N13" s="7" t="s">
        <v>208</v>
      </c>
      <c r="O13" s="7" t="s">
        <v>209</v>
      </c>
      <c r="P13" s="20" t="s">
        <v>113</v>
      </c>
      <c r="Q13" s="20" t="s">
        <v>114</v>
      </c>
      <c r="R13" s="20" t="s">
        <v>58</v>
      </c>
      <c r="S13" s="20"/>
    </row>
    <row r="14" spans="8:8" ht="24.0" customHeight="1">
      <c r="A14" s="14" t="s">
        <v>210</v>
      </c>
      <c r="B14" s="15" t="s">
        <v>211</v>
      </c>
      <c r="C14" s="16" t="s">
        <v>11</v>
      </c>
      <c r="D14" s="16" t="s">
        <v>212</v>
      </c>
      <c r="E14" s="16" t="s">
        <v>213</v>
      </c>
      <c r="F14" s="15" t="s">
        <v>214</v>
      </c>
      <c r="G14" s="15" t="s">
        <v>215</v>
      </c>
      <c r="H14" s="15" t="s">
        <v>216</v>
      </c>
      <c r="I14" s="15" t="s">
        <v>217</v>
      </c>
      <c r="J14" s="15" t="s">
        <v>218</v>
      </c>
      <c r="K14" s="15" t="s">
        <v>219</v>
      </c>
      <c r="L14" s="15" t="s">
        <v>220</v>
      </c>
      <c r="M14" s="15" t="s">
        <v>221</v>
      </c>
      <c r="N14" s="15" t="s">
        <v>222</v>
      </c>
      <c r="O14" s="15" t="s">
        <v>223</v>
      </c>
      <c r="P14" s="17" t="s">
        <v>113</v>
      </c>
      <c r="Q14" s="17" t="s">
        <v>114</v>
      </c>
      <c r="R14" s="17" t="s">
        <v>58</v>
      </c>
      <c r="S14" s="17"/>
    </row>
    <row r="15" spans="8:8" ht="24.0" customHeight="1">
      <c r="A15" s="18" t="s">
        <v>224</v>
      </c>
      <c r="B15" s="7" t="s">
        <v>225</v>
      </c>
      <c r="C15" s="19" t="s">
        <v>11</v>
      </c>
      <c r="D15" s="19" t="s">
        <v>226</v>
      </c>
      <c r="E15" s="19" t="s">
        <v>142</v>
      </c>
      <c r="F15" s="7" t="s">
        <v>227</v>
      </c>
      <c r="G15" s="7" t="s">
        <v>228</v>
      </c>
      <c r="H15" s="7" t="s">
        <v>229</v>
      </c>
      <c r="I15" s="7" t="s">
        <v>230</v>
      </c>
      <c r="J15" s="7" t="s">
        <v>231</v>
      </c>
      <c r="K15" s="7" t="s">
        <v>232</v>
      </c>
      <c r="L15" s="7" t="s">
        <v>233</v>
      </c>
      <c r="M15" s="7" t="s">
        <v>234</v>
      </c>
      <c r="N15" s="7" t="s">
        <v>235</v>
      </c>
      <c r="O15" s="7" t="s">
        <v>236</v>
      </c>
      <c r="P15" s="20" t="s">
        <v>113</v>
      </c>
      <c r="Q15" s="20" t="s">
        <v>114</v>
      </c>
      <c r="R15" s="20" t="s">
        <v>58</v>
      </c>
      <c r="S15" s="20"/>
    </row>
    <row r="16" spans="8:8" ht="24.0" customHeight="1">
      <c r="A16" s="14" t="s">
        <v>237</v>
      </c>
      <c r="B16" s="15" t="s">
        <v>238</v>
      </c>
      <c r="C16" s="16" t="s">
        <v>11</v>
      </c>
      <c r="D16" s="16" t="s">
        <v>117</v>
      </c>
      <c r="E16" s="16" t="s">
        <v>102</v>
      </c>
      <c r="F16" s="15" t="s">
        <v>239</v>
      </c>
      <c r="G16" s="15" t="s">
        <v>240</v>
      </c>
      <c r="H16" s="15" t="s">
        <v>241</v>
      </c>
      <c r="I16" s="15" t="s">
        <v>242</v>
      </c>
      <c r="J16" s="15" t="s">
        <v>243</v>
      </c>
      <c r="K16" s="15" t="s">
        <v>205</v>
      </c>
      <c r="L16" s="15" t="s">
        <v>244</v>
      </c>
      <c r="M16" s="15" t="s">
        <v>245</v>
      </c>
      <c r="N16" s="15" t="s">
        <v>246</v>
      </c>
      <c r="O16" s="15" t="s">
        <v>247</v>
      </c>
      <c r="P16" s="17" t="s">
        <v>113</v>
      </c>
      <c r="Q16" s="17" t="s">
        <v>114</v>
      </c>
      <c r="R16" s="17" t="s">
        <v>58</v>
      </c>
      <c r="S16" s="17"/>
    </row>
    <row r="17" spans="8:8" ht="24.0" customHeight="1">
      <c r="A17" s="18" t="s">
        <v>248</v>
      </c>
      <c r="B17" s="7" t="s">
        <v>249</v>
      </c>
      <c r="C17" s="19" t="s">
        <v>11</v>
      </c>
      <c r="D17" s="19" t="s">
        <v>89</v>
      </c>
      <c r="E17" s="19" t="s">
        <v>250</v>
      </c>
      <c r="F17" s="7" t="s">
        <v>158</v>
      </c>
      <c r="G17" s="7" t="s">
        <v>251</v>
      </c>
      <c r="H17" s="7" t="s">
        <v>252</v>
      </c>
      <c r="I17" s="7" t="s">
        <v>253</v>
      </c>
      <c r="J17" s="7" t="s">
        <v>254</v>
      </c>
      <c r="K17" s="7" t="s">
        <v>255</v>
      </c>
      <c r="L17" s="7" t="s">
        <v>256</v>
      </c>
      <c r="M17" s="7" t="s">
        <v>257</v>
      </c>
      <c r="N17" s="7" t="s">
        <v>258</v>
      </c>
      <c r="O17" s="7" t="s">
        <v>259</v>
      </c>
      <c r="P17" s="20" t="s">
        <v>113</v>
      </c>
      <c r="Q17" s="20" t="s">
        <v>114</v>
      </c>
      <c r="R17" s="20" t="s">
        <v>58</v>
      </c>
      <c r="S17" s="20"/>
    </row>
    <row r="18" spans="8:8" ht="24.0" customHeight="1">
      <c r="A18" s="14" t="s">
        <v>260</v>
      </c>
      <c r="B18" s="15" t="s">
        <v>261</v>
      </c>
      <c r="C18" s="16" t="s">
        <v>11</v>
      </c>
      <c r="D18" s="16" t="s">
        <v>89</v>
      </c>
      <c r="E18" s="16" t="s">
        <v>262</v>
      </c>
      <c r="F18" s="15" t="s">
        <v>158</v>
      </c>
      <c r="G18" s="15" t="s">
        <v>263</v>
      </c>
      <c r="H18" s="15" t="s">
        <v>229</v>
      </c>
      <c r="I18" s="15" t="s">
        <v>264</v>
      </c>
      <c r="J18" s="15" t="s">
        <v>265</v>
      </c>
      <c r="K18" s="15" t="s">
        <v>266</v>
      </c>
      <c r="L18" s="15" t="s">
        <v>267</v>
      </c>
      <c r="M18" s="15" t="s">
        <v>268</v>
      </c>
      <c r="N18" s="15" t="s">
        <v>269</v>
      </c>
      <c r="O18" s="15" t="s">
        <v>270</v>
      </c>
      <c r="P18" s="17" t="s">
        <v>113</v>
      </c>
      <c r="Q18" s="17" t="s">
        <v>114</v>
      </c>
      <c r="R18" s="17" t="s">
        <v>58</v>
      </c>
      <c r="S18" s="17"/>
    </row>
    <row r="19" spans="8:8" ht="24.0" customHeight="1">
      <c r="A19" s="18" t="s">
        <v>271</v>
      </c>
      <c r="B19" s="7" t="s">
        <v>272</v>
      </c>
      <c r="C19" s="19" t="s">
        <v>155</v>
      </c>
      <c r="D19" s="19" t="s">
        <v>170</v>
      </c>
      <c r="E19" s="19" t="s">
        <v>142</v>
      </c>
      <c r="F19" s="7" t="s">
        <v>119</v>
      </c>
      <c r="G19" s="7" t="s">
        <v>273</v>
      </c>
      <c r="H19" s="7" t="s">
        <v>274</v>
      </c>
      <c r="I19" s="7" t="s">
        <v>275</v>
      </c>
      <c r="J19" s="7" t="s">
        <v>276</v>
      </c>
      <c r="K19" s="7" t="s">
        <v>277</v>
      </c>
      <c r="L19" s="7" t="s">
        <v>278</v>
      </c>
      <c r="M19" s="7" t="s">
        <v>279</v>
      </c>
      <c r="N19" s="7" t="s">
        <v>280</v>
      </c>
      <c r="O19" s="7" t="s">
        <v>281</v>
      </c>
      <c r="P19" s="20" t="s">
        <v>113</v>
      </c>
      <c r="Q19" s="20" t="s">
        <v>114</v>
      </c>
      <c r="R19" s="20" t="s">
        <v>58</v>
      </c>
      <c r="S19" s="20"/>
    </row>
    <row r="20" spans="8:8" ht="24.0" customHeight="1">
      <c r="A20" s="14" t="s">
        <v>282</v>
      </c>
      <c r="B20" s="15" t="s">
        <v>283</v>
      </c>
      <c r="C20" s="16" t="s">
        <v>11</v>
      </c>
      <c r="D20" s="16" t="s">
        <v>212</v>
      </c>
      <c r="E20" s="16" t="s">
        <v>45</v>
      </c>
      <c r="F20" s="15" t="s">
        <v>284</v>
      </c>
      <c r="G20" s="15" t="s">
        <v>285</v>
      </c>
      <c r="H20" s="15" t="s">
        <v>286</v>
      </c>
      <c r="I20" s="15" t="s">
        <v>287</v>
      </c>
      <c r="J20" s="15" t="s">
        <v>288</v>
      </c>
      <c r="K20" s="15" t="s">
        <v>289</v>
      </c>
      <c r="L20" s="15" t="s">
        <v>290</v>
      </c>
      <c r="M20" s="15" t="s">
        <v>291</v>
      </c>
      <c r="N20" s="15" t="s">
        <v>292</v>
      </c>
      <c r="O20" s="15" t="s">
        <v>293</v>
      </c>
      <c r="P20" s="17" t="s">
        <v>113</v>
      </c>
      <c r="Q20" s="17" t="s">
        <v>114</v>
      </c>
      <c r="R20" s="17" t="s">
        <v>58</v>
      </c>
      <c r="S20" s="17"/>
    </row>
    <row r="21" spans="8:8" ht="24.0" customHeight="1">
      <c r="A21" s="18" t="s">
        <v>294</v>
      </c>
      <c r="B21" s="7" t="s">
        <v>295</v>
      </c>
      <c r="C21" s="19" t="s">
        <v>11</v>
      </c>
      <c r="D21" s="19" t="s">
        <v>226</v>
      </c>
      <c r="E21" s="19" t="s">
        <v>142</v>
      </c>
      <c r="F21" s="7" t="s">
        <v>296</v>
      </c>
      <c r="G21" s="7" t="s">
        <v>297</v>
      </c>
      <c r="H21" s="7" t="s">
        <v>48</v>
      </c>
      <c r="I21" s="7" t="s">
        <v>298</v>
      </c>
      <c r="J21" s="7" t="s">
        <v>299</v>
      </c>
      <c r="K21" s="7" t="s">
        <v>300</v>
      </c>
      <c r="L21" s="7" t="s">
        <v>301</v>
      </c>
      <c r="M21" s="7" t="s">
        <v>302</v>
      </c>
      <c r="N21" s="7" t="s">
        <v>303</v>
      </c>
      <c r="O21" s="7" t="s">
        <v>304</v>
      </c>
      <c r="P21" s="20" t="s">
        <v>113</v>
      </c>
      <c r="Q21" s="20" t="s">
        <v>114</v>
      </c>
      <c r="R21" s="20" t="s">
        <v>58</v>
      </c>
      <c r="S21" s="20"/>
    </row>
    <row r="22" spans="8:8" ht="24.0" customHeight="1">
      <c r="A22" s="14" t="s">
        <v>305</v>
      </c>
      <c r="B22" s="15" t="s">
        <v>306</v>
      </c>
      <c r="C22" s="16" t="s">
        <v>13</v>
      </c>
      <c r="D22" s="16" t="s">
        <v>170</v>
      </c>
      <c r="E22" s="16" t="s">
        <v>262</v>
      </c>
      <c r="F22" s="15" t="s">
        <v>214</v>
      </c>
      <c r="G22" s="15" t="s">
        <v>307</v>
      </c>
      <c r="H22" s="15" t="s">
        <v>216</v>
      </c>
      <c r="I22" s="15" t="s">
        <v>308</v>
      </c>
      <c r="J22" s="15" t="s">
        <v>309</v>
      </c>
      <c r="K22" s="15" t="s">
        <v>310</v>
      </c>
      <c r="L22" s="15" t="s">
        <v>311</v>
      </c>
      <c r="M22" s="15" t="s">
        <v>312</v>
      </c>
      <c r="N22" s="15" t="s">
        <v>313</v>
      </c>
      <c r="O22" s="15" t="s">
        <v>314</v>
      </c>
      <c r="P22" s="17" t="s">
        <v>113</v>
      </c>
      <c r="Q22" s="17" t="s">
        <v>114</v>
      </c>
      <c r="R22" s="17" t="s">
        <v>58</v>
      </c>
      <c r="S22" s="17"/>
    </row>
    <row r="23" spans="8:8" ht="24.0" customHeight="1">
      <c r="A23" s="18" t="s">
        <v>315</v>
      </c>
      <c r="B23" s="7" t="s">
        <v>316</v>
      </c>
      <c r="C23" s="19" t="s">
        <v>15</v>
      </c>
      <c r="D23" s="19" t="s">
        <v>170</v>
      </c>
      <c r="E23" s="19" t="s">
        <v>262</v>
      </c>
      <c r="F23" s="7" t="s">
        <v>239</v>
      </c>
      <c r="G23" s="7" t="s">
        <v>317</v>
      </c>
      <c r="H23" s="7" t="s">
        <v>48</v>
      </c>
      <c r="I23" s="7" t="s">
        <v>318</v>
      </c>
      <c r="J23" s="7" t="s">
        <v>319</v>
      </c>
      <c r="K23" s="7" t="s">
        <v>320</v>
      </c>
      <c r="L23" s="7" t="s">
        <v>321</v>
      </c>
      <c r="M23" s="7" t="s">
        <v>322</v>
      </c>
      <c r="N23" s="7" t="s">
        <v>323</v>
      </c>
      <c r="O23" s="7" t="s">
        <v>324</v>
      </c>
      <c r="P23" s="20" t="s">
        <v>113</v>
      </c>
      <c r="Q23" s="20" t="s">
        <v>114</v>
      </c>
      <c r="R23" s="20" t="s">
        <v>58</v>
      </c>
      <c r="S23" s="20"/>
    </row>
    <row r="24" spans="8:8" ht="24.0" customHeight="1">
      <c r="A24" s="14" t="s">
        <v>325</v>
      </c>
      <c r="B24" s="15" t="s">
        <v>326</v>
      </c>
      <c r="C24" s="16" t="s">
        <v>21</v>
      </c>
      <c r="D24" s="16" t="s">
        <v>170</v>
      </c>
      <c r="E24" s="16" t="s">
        <v>327</v>
      </c>
      <c r="F24" s="15" t="s">
        <v>91</v>
      </c>
      <c r="G24" s="15" t="s">
        <v>328</v>
      </c>
      <c r="H24" s="15" t="s">
        <v>160</v>
      </c>
      <c r="I24" s="15" t="s">
        <v>329</v>
      </c>
      <c r="J24" s="15" t="s">
        <v>330</v>
      </c>
      <c r="K24" s="15" t="s">
        <v>331</v>
      </c>
      <c r="L24" s="15" t="s">
        <v>332</v>
      </c>
      <c r="M24" s="15" t="s">
        <v>333</v>
      </c>
      <c r="N24" s="15" t="s">
        <v>334</v>
      </c>
      <c r="O24" s="15" t="s">
        <v>335</v>
      </c>
      <c r="P24" s="17" t="s">
        <v>113</v>
      </c>
      <c r="Q24" s="17" t="s">
        <v>336</v>
      </c>
      <c r="R24" s="17" t="s">
        <v>58</v>
      </c>
      <c r="S24" s="17"/>
    </row>
    <row r="25" spans="8:8" ht="24.0" customHeight="1">
      <c r="A25" s="18" t="s">
        <v>337</v>
      </c>
      <c r="B25" s="7" t="s">
        <v>338</v>
      </c>
      <c r="C25" s="19" t="s">
        <v>13</v>
      </c>
      <c r="D25" s="19" t="s">
        <v>75</v>
      </c>
      <c r="E25" s="19" t="s">
        <v>184</v>
      </c>
      <c r="F25" s="7" t="s">
        <v>339</v>
      </c>
      <c r="G25" s="7" t="s">
        <v>340</v>
      </c>
      <c r="H25" s="7" t="s">
        <v>341</v>
      </c>
      <c r="I25" s="7" t="s">
        <v>342</v>
      </c>
      <c r="J25" s="7" t="s">
        <v>343</v>
      </c>
      <c r="K25" s="7" t="s">
        <v>344</v>
      </c>
      <c r="L25" s="7" t="s">
        <v>345</v>
      </c>
      <c r="M25" s="7" t="s">
        <v>346</v>
      </c>
      <c r="N25" s="7" t="s">
        <v>347</v>
      </c>
      <c r="O25" s="7" t="s">
        <v>348</v>
      </c>
      <c r="P25" s="20" t="s">
        <v>113</v>
      </c>
      <c r="Q25" s="20" t="s">
        <v>336</v>
      </c>
      <c r="R25" s="20" t="s">
        <v>58</v>
      </c>
      <c r="S25" s="20"/>
    </row>
    <row r="26" spans="8:8" ht="24.0" customHeight="1">
      <c r="A26" s="14" t="s">
        <v>349</v>
      </c>
      <c r="B26" s="15" t="s">
        <v>350</v>
      </c>
      <c r="C26" s="16" t="s">
        <v>155</v>
      </c>
      <c r="D26" s="16" t="s">
        <v>212</v>
      </c>
      <c r="E26" s="16" t="s">
        <v>45</v>
      </c>
      <c r="F26" s="15" t="s">
        <v>351</v>
      </c>
      <c r="G26" s="15" t="s">
        <v>352</v>
      </c>
      <c r="H26" s="15" t="s">
        <v>105</v>
      </c>
      <c r="I26" s="15" t="s">
        <v>353</v>
      </c>
      <c r="J26" s="15" t="s">
        <v>134</v>
      </c>
      <c r="K26" s="15" t="s">
        <v>354</v>
      </c>
      <c r="L26" s="15" t="s">
        <v>355</v>
      </c>
      <c r="M26" s="15" t="s">
        <v>356</v>
      </c>
      <c r="N26" s="15" t="s">
        <v>357</v>
      </c>
      <c r="O26" s="15" t="s">
        <v>358</v>
      </c>
      <c r="P26" s="17" t="s">
        <v>113</v>
      </c>
      <c r="Q26" s="17" t="s">
        <v>336</v>
      </c>
      <c r="R26" s="17" t="s">
        <v>58</v>
      </c>
      <c r="S26" s="17"/>
    </row>
    <row r="27" spans="8:8" ht="24.0" customHeight="1">
      <c r="A27" s="18" t="s">
        <v>359</v>
      </c>
      <c r="B27" s="7" t="s">
        <v>360</v>
      </c>
      <c r="C27" s="19" t="s">
        <v>19</v>
      </c>
      <c r="D27" s="19" t="s">
        <v>170</v>
      </c>
      <c r="E27" s="19" t="s">
        <v>250</v>
      </c>
      <c r="F27" s="7" t="s">
        <v>361</v>
      </c>
      <c r="G27" s="7" t="s">
        <v>362</v>
      </c>
      <c r="H27" s="7" t="s">
        <v>145</v>
      </c>
      <c r="I27" s="7" t="s">
        <v>363</v>
      </c>
      <c r="J27" s="7" t="s">
        <v>364</v>
      </c>
      <c r="K27" s="7" t="s">
        <v>365</v>
      </c>
      <c r="L27" s="7" t="s">
        <v>366</v>
      </c>
      <c r="M27" s="7" t="s">
        <v>367</v>
      </c>
      <c r="N27" s="7" t="s">
        <v>368</v>
      </c>
      <c r="O27" s="7" t="s">
        <v>369</v>
      </c>
      <c r="P27" s="20" t="s">
        <v>113</v>
      </c>
      <c r="Q27" s="20" t="s">
        <v>336</v>
      </c>
      <c r="R27" s="20" t="s">
        <v>58</v>
      </c>
      <c r="S27" s="20"/>
    </row>
    <row r="28" spans="8:8" ht="24.0" customHeight="1">
      <c r="A28" s="14" t="s">
        <v>370</v>
      </c>
      <c r="B28" s="15" t="s">
        <v>371</v>
      </c>
      <c r="C28" s="16" t="s">
        <v>372</v>
      </c>
      <c r="D28" s="16" t="s">
        <v>170</v>
      </c>
      <c r="E28" s="16" t="s">
        <v>184</v>
      </c>
      <c r="F28" s="15" t="s">
        <v>373</v>
      </c>
      <c r="G28" s="15" t="s">
        <v>374</v>
      </c>
      <c r="H28" s="15" t="s">
        <v>145</v>
      </c>
      <c r="I28" s="15" t="s">
        <v>375</v>
      </c>
      <c r="J28" s="15" t="s">
        <v>376</v>
      </c>
      <c r="K28" s="15" t="s">
        <v>377</v>
      </c>
      <c r="L28" s="15" t="s">
        <v>378</v>
      </c>
      <c r="M28" s="15" t="s">
        <v>379</v>
      </c>
      <c r="N28" s="15" t="s">
        <v>380</v>
      </c>
      <c r="O28" s="15" t="s">
        <v>381</v>
      </c>
      <c r="P28" s="17" t="s">
        <v>113</v>
      </c>
      <c r="Q28" s="17" t="s">
        <v>336</v>
      </c>
      <c r="R28" s="17" t="s">
        <v>58</v>
      </c>
      <c r="S28" s="17"/>
    </row>
    <row r="29" spans="8:8" ht="24.0" customHeight="1">
      <c r="A29" s="18" t="s">
        <v>382</v>
      </c>
      <c r="B29" s="7" t="s">
        <v>383</v>
      </c>
      <c r="C29" s="19" t="s">
        <v>19</v>
      </c>
      <c r="D29" s="19" t="s">
        <v>170</v>
      </c>
      <c r="E29" s="19" t="s">
        <v>171</v>
      </c>
      <c r="F29" s="7" t="s">
        <v>384</v>
      </c>
      <c r="G29" s="7" t="s">
        <v>385</v>
      </c>
      <c r="H29" s="7" t="s">
        <v>105</v>
      </c>
      <c r="I29" s="7" t="s">
        <v>386</v>
      </c>
      <c r="J29" s="7" t="s">
        <v>387</v>
      </c>
      <c r="K29" s="7" t="s">
        <v>388</v>
      </c>
      <c r="L29" s="7" t="s">
        <v>389</v>
      </c>
      <c r="M29" s="7" t="s">
        <v>390</v>
      </c>
      <c r="N29" s="7" t="s">
        <v>391</v>
      </c>
      <c r="O29" s="7" t="s">
        <v>392</v>
      </c>
      <c r="P29" s="20" t="s">
        <v>113</v>
      </c>
      <c r="Q29" s="20" t="s">
        <v>336</v>
      </c>
      <c r="R29" s="20" t="s">
        <v>58</v>
      </c>
      <c r="S29" s="20"/>
    </row>
    <row r="30" spans="8:8" ht="24.0" customHeight="1">
      <c r="A30" s="14" t="s">
        <v>393</v>
      </c>
      <c r="B30" s="15" t="s">
        <v>394</v>
      </c>
      <c r="C30" s="16" t="s">
        <v>11</v>
      </c>
      <c r="D30" s="16" t="s">
        <v>226</v>
      </c>
      <c r="E30" s="16" t="s">
        <v>184</v>
      </c>
      <c r="F30" s="15" t="s">
        <v>395</v>
      </c>
      <c r="G30" s="15" t="s">
        <v>396</v>
      </c>
      <c r="H30" s="15" t="s">
        <v>397</v>
      </c>
      <c r="I30" s="15" t="s">
        <v>398</v>
      </c>
      <c r="J30" s="15" t="s">
        <v>399</v>
      </c>
      <c r="K30" s="15" t="s">
        <v>400</v>
      </c>
      <c r="L30" s="15" t="s">
        <v>401</v>
      </c>
      <c r="M30" s="15" t="s">
        <v>402</v>
      </c>
      <c r="N30" s="15" t="s">
        <v>403</v>
      </c>
      <c r="O30" s="15" t="s">
        <v>404</v>
      </c>
      <c r="P30" s="17" t="s">
        <v>113</v>
      </c>
      <c r="Q30" s="17" t="s">
        <v>114</v>
      </c>
      <c r="R30" s="17" t="s">
        <v>58</v>
      </c>
      <c r="S30" s="17"/>
    </row>
    <row r="31" spans="8:8" ht="24.0" customHeight="1">
      <c r="A31" s="18" t="s">
        <v>405</v>
      </c>
      <c r="B31" s="7" t="s">
        <v>406</v>
      </c>
      <c r="C31" s="19" t="s">
        <v>11</v>
      </c>
      <c r="D31" s="19" t="s">
        <v>407</v>
      </c>
      <c r="E31" s="19" t="s">
        <v>102</v>
      </c>
      <c r="F31" s="7" t="s">
        <v>395</v>
      </c>
      <c r="G31" s="7" t="s">
        <v>408</v>
      </c>
      <c r="H31" s="7" t="s">
        <v>409</v>
      </c>
      <c r="I31" s="7" t="s">
        <v>410</v>
      </c>
      <c r="J31" s="7" t="s">
        <v>411</v>
      </c>
      <c r="K31" s="7" t="s">
        <v>412</v>
      </c>
      <c r="L31" s="7" t="s">
        <v>413</v>
      </c>
      <c r="M31" s="7" t="s">
        <v>414</v>
      </c>
      <c r="N31" s="7" t="s">
        <v>415</v>
      </c>
      <c r="O31" s="7" t="s">
        <v>416</v>
      </c>
      <c r="P31" s="20" t="s">
        <v>113</v>
      </c>
      <c r="Q31" s="20" t="s">
        <v>114</v>
      </c>
      <c r="R31" s="20" t="s">
        <v>58</v>
      </c>
      <c r="S31" s="20"/>
    </row>
    <row r="32" spans="8:8" ht="24.0" customHeight="1">
      <c r="A32" s="14" t="s">
        <v>417</v>
      </c>
      <c r="B32" s="15" t="s">
        <v>418</v>
      </c>
      <c r="C32" s="16" t="s">
        <v>155</v>
      </c>
      <c r="D32" s="16" t="s">
        <v>89</v>
      </c>
      <c r="E32" s="16" t="s">
        <v>250</v>
      </c>
      <c r="F32" s="15" t="s">
        <v>395</v>
      </c>
      <c r="G32" s="15" t="s">
        <v>419</v>
      </c>
      <c r="H32" s="15" t="s">
        <v>420</v>
      </c>
      <c r="I32" s="15" t="s">
        <v>421</v>
      </c>
      <c r="J32" s="15" t="s">
        <v>422</v>
      </c>
      <c r="K32" s="15" t="s">
        <v>423</v>
      </c>
      <c r="L32" s="15" t="s">
        <v>424</v>
      </c>
      <c r="M32" s="15" t="s">
        <v>425</v>
      </c>
      <c r="N32" s="15" t="s">
        <v>426</v>
      </c>
      <c r="O32" s="15" t="s">
        <v>427</v>
      </c>
      <c r="P32" s="17" t="s">
        <v>113</v>
      </c>
      <c r="Q32" s="17" t="s">
        <v>114</v>
      </c>
      <c r="R32" s="17" t="s">
        <v>58</v>
      </c>
      <c r="S32" s="17"/>
    </row>
    <row r="33" spans="8:8" ht="24.0" customHeight="1">
      <c r="A33" s="18" t="s">
        <v>428</v>
      </c>
      <c r="B33" s="7" t="s">
        <v>429</v>
      </c>
      <c r="C33" s="19" t="s">
        <v>11</v>
      </c>
      <c r="D33" s="19" t="s">
        <v>170</v>
      </c>
      <c r="E33" s="19" t="s">
        <v>171</v>
      </c>
      <c r="F33" s="7" t="s">
        <v>430</v>
      </c>
      <c r="G33" s="7" t="s">
        <v>431</v>
      </c>
      <c r="H33" s="7" t="s">
        <v>105</v>
      </c>
      <c r="I33" s="7" t="s">
        <v>432</v>
      </c>
      <c r="J33" s="7" t="s">
        <v>433</v>
      </c>
      <c r="K33" s="7" t="s">
        <v>205</v>
      </c>
      <c r="L33" s="7" t="s">
        <v>434</v>
      </c>
      <c r="M33" s="7" t="s">
        <v>435</v>
      </c>
      <c r="N33" s="7" t="s">
        <v>436</v>
      </c>
      <c r="O33" s="7" t="s">
        <v>437</v>
      </c>
      <c r="P33" s="20" t="s">
        <v>113</v>
      </c>
      <c r="Q33" s="20" t="s">
        <v>114</v>
      </c>
      <c r="R33" s="20" t="s">
        <v>58</v>
      </c>
      <c r="S33" s="20"/>
    </row>
    <row r="34" spans="8:8" ht="24.0" customHeight="1">
      <c r="A34" s="14" t="s">
        <v>438</v>
      </c>
      <c r="B34" s="15" t="s">
        <v>439</v>
      </c>
      <c r="C34" s="16" t="s">
        <v>13</v>
      </c>
      <c r="D34" s="16" t="s">
        <v>44</v>
      </c>
      <c r="E34" s="16" t="s">
        <v>76</v>
      </c>
      <c r="F34" s="15" t="s">
        <v>440</v>
      </c>
      <c r="G34" s="15" t="s">
        <v>441</v>
      </c>
      <c r="H34" s="15" t="s">
        <v>442</v>
      </c>
      <c r="I34" s="15" t="s">
        <v>443</v>
      </c>
      <c r="J34" s="15" t="s">
        <v>444</v>
      </c>
      <c r="K34" s="15" t="s">
        <v>445</v>
      </c>
      <c r="L34" s="15" t="s">
        <v>446</v>
      </c>
      <c r="M34" s="15" t="s">
        <v>447</v>
      </c>
      <c r="N34" s="15" t="s">
        <v>448</v>
      </c>
      <c r="O34" s="15" t="s">
        <v>449</v>
      </c>
      <c r="P34" s="17" t="s">
        <v>113</v>
      </c>
      <c r="Q34" s="17" t="s">
        <v>114</v>
      </c>
      <c r="R34" s="17" t="s">
        <v>58</v>
      </c>
      <c r="S34" s="17"/>
    </row>
    <row r="35" spans="8:8" ht="24.0" customHeight="1">
      <c r="A35" s="18" t="s">
        <v>450</v>
      </c>
      <c r="B35" s="7" t="s">
        <v>451</v>
      </c>
      <c r="C35" s="19" t="s">
        <v>11</v>
      </c>
      <c r="D35" s="19" t="s">
        <v>452</v>
      </c>
      <c r="E35" s="19" t="s">
        <v>453</v>
      </c>
      <c r="F35" s="7" t="s">
        <v>454</v>
      </c>
      <c r="G35" s="7" t="s">
        <v>455</v>
      </c>
      <c r="H35" s="7" t="s">
        <v>456</v>
      </c>
      <c r="I35" s="7" t="s">
        <v>457</v>
      </c>
      <c r="J35" s="7" t="s">
        <v>458</v>
      </c>
      <c r="K35" s="7" t="s">
        <v>459</v>
      </c>
      <c r="L35" s="7" t="s">
        <v>460</v>
      </c>
      <c r="M35" s="7" t="s">
        <v>461</v>
      </c>
      <c r="N35" s="7" t="s">
        <v>462</v>
      </c>
      <c r="O35" s="7" t="s">
        <v>463</v>
      </c>
      <c r="P35" s="20" t="s">
        <v>113</v>
      </c>
      <c r="Q35" s="20" t="s">
        <v>114</v>
      </c>
      <c r="R35" s="20" t="s">
        <v>58</v>
      </c>
      <c r="S35" s="20"/>
    </row>
    <row r="36" spans="8:8" ht="24.0" customHeight="1">
      <c r="A36" s="14" t="s">
        <v>464</v>
      </c>
      <c r="B36" s="15" t="s">
        <v>465</v>
      </c>
      <c r="C36" s="16" t="s">
        <v>11</v>
      </c>
      <c r="D36" s="16" t="s">
        <v>466</v>
      </c>
      <c r="E36" s="16" t="s">
        <v>467</v>
      </c>
      <c r="F36" s="15" t="s">
        <v>468</v>
      </c>
      <c r="G36" s="15" t="s">
        <v>469</v>
      </c>
      <c r="H36" s="15" t="s">
        <v>456</v>
      </c>
      <c r="I36" s="15" t="s">
        <v>470</v>
      </c>
      <c r="J36" s="15" t="s">
        <v>471</v>
      </c>
      <c r="K36" s="15" t="s">
        <v>472</v>
      </c>
      <c r="L36" s="15" t="s">
        <v>473</v>
      </c>
      <c r="M36" s="15" t="s">
        <v>474</v>
      </c>
      <c r="N36" s="15" t="s">
        <v>475</v>
      </c>
      <c r="O36" s="15" t="s">
        <v>476</v>
      </c>
      <c r="P36" s="17" t="s">
        <v>113</v>
      </c>
      <c r="Q36" s="17" t="s">
        <v>114</v>
      </c>
      <c r="R36" s="17" t="s">
        <v>58</v>
      </c>
      <c r="S36" s="17"/>
    </row>
    <row r="37" spans="8:8" ht="24.0" customHeight="1">
      <c r="A37" s="18" t="s">
        <v>477</v>
      </c>
      <c r="B37" s="7" t="s">
        <v>478</v>
      </c>
      <c r="C37" s="19" t="s">
        <v>155</v>
      </c>
      <c r="D37" s="19" t="s">
        <v>479</v>
      </c>
      <c r="E37" s="19" t="s">
        <v>480</v>
      </c>
      <c r="F37" s="7" t="s">
        <v>481</v>
      </c>
      <c r="G37" s="7" t="s">
        <v>482</v>
      </c>
      <c r="H37" s="7" t="s">
        <v>456</v>
      </c>
      <c r="I37" s="7" t="s">
        <v>483</v>
      </c>
      <c r="J37" s="7" t="s">
        <v>484</v>
      </c>
      <c r="K37" s="7" t="s">
        <v>485</v>
      </c>
      <c r="L37" s="7" t="s">
        <v>486</v>
      </c>
      <c r="M37" s="7" t="s">
        <v>487</v>
      </c>
      <c r="N37" s="7" t="s">
        <v>488</v>
      </c>
      <c r="O37" s="7" t="s">
        <v>489</v>
      </c>
      <c r="P37" s="20" t="s">
        <v>113</v>
      </c>
      <c r="Q37" s="20" t="s">
        <v>114</v>
      </c>
      <c r="R37" s="20" t="s">
        <v>58</v>
      </c>
      <c r="S37" s="20"/>
    </row>
    <row r="38" spans="8:8" ht="24.0" customHeight="1">
      <c r="A38" s="14" t="s">
        <v>490</v>
      </c>
      <c r="B38" s="15" t="s">
        <v>491</v>
      </c>
      <c r="C38" s="16" t="s">
        <v>11</v>
      </c>
      <c r="D38" s="16" t="s">
        <v>226</v>
      </c>
      <c r="E38" s="16" t="s">
        <v>142</v>
      </c>
      <c r="F38" s="15" t="s">
        <v>492</v>
      </c>
      <c r="G38" s="15" t="s">
        <v>493</v>
      </c>
      <c r="H38" s="15" t="s">
        <v>48</v>
      </c>
      <c r="I38" s="15" t="s">
        <v>494</v>
      </c>
      <c r="J38" s="15" t="s">
        <v>495</v>
      </c>
      <c r="K38" s="15" t="s">
        <v>496</v>
      </c>
      <c r="L38" s="15" t="s">
        <v>497</v>
      </c>
      <c r="M38" s="15" t="s">
        <v>498</v>
      </c>
      <c r="N38" s="15" t="s">
        <v>499</v>
      </c>
      <c r="O38" s="15" t="s">
        <v>500</v>
      </c>
      <c r="P38" s="17" t="s">
        <v>113</v>
      </c>
      <c r="Q38" s="17" t="s">
        <v>114</v>
      </c>
      <c r="R38" s="17" t="s">
        <v>58</v>
      </c>
      <c r="S38" s="17"/>
    </row>
    <row r="39" spans="8:8" ht="24.0" customHeight="1">
      <c r="A39" s="18" t="s">
        <v>501</v>
      </c>
      <c r="B39" s="7" t="s">
        <v>502</v>
      </c>
      <c r="C39" s="19" t="s">
        <v>11</v>
      </c>
      <c r="D39" s="19" t="s">
        <v>503</v>
      </c>
      <c r="E39" s="19" t="s">
        <v>45</v>
      </c>
      <c r="F39" s="7" t="s">
        <v>504</v>
      </c>
      <c r="G39" s="7" t="s">
        <v>505</v>
      </c>
      <c r="H39" s="7" t="s">
        <v>506</v>
      </c>
      <c r="I39" s="7" t="s">
        <v>507</v>
      </c>
      <c r="J39" s="7" t="s">
        <v>508</v>
      </c>
      <c r="K39" s="7" t="s">
        <v>509</v>
      </c>
      <c r="L39" s="7" t="s">
        <v>510</v>
      </c>
      <c r="M39" s="7" t="s">
        <v>511</v>
      </c>
      <c r="N39" s="7" t="s">
        <v>512</v>
      </c>
      <c r="O39" s="7" t="s">
        <v>513</v>
      </c>
      <c r="P39" s="20" t="s">
        <v>113</v>
      </c>
      <c r="Q39" s="20" t="s">
        <v>114</v>
      </c>
      <c r="R39" s="20" t="s">
        <v>58</v>
      </c>
      <c r="S39" s="20"/>
    </row>
    <row r="40" spans="8:8" ht="24.0" customHeight="1">
      <c r="A40" s="14" t="s">
        <v>514</v>
      </c>
      <c r="B40" s="15" t="s">
        <v>515</v>
      </c>
      <c r="C40" s="16" t="s">
        <v>11</v>
      </c>
      <c r="D40" s="16" t="s">
        <v>516</v>
      </c>
      <c r="E40" s="16" t="s">
        <v>517</v>
      </c>
      <c r="F40" s="15" t="s">
        <v>518</v>
      </c>
      <c r="G40" s="15" t="s">
        <v>519</v>
      </c>
      <c r="H40" s="15" t="s">
        <v>48</v>
      </c>
      <c r="I40" s="15" t="s">
        <v>520</v>
      </c>
      <c r="J40" s="15" t="s">
        <v>458</v>
      </c>
      <c r="K40" s="15" t="s">
        <v>521</v>
      </c>
      <c r="L40" s="15" t="s">
        <v>522</v>
      </c>
      <c r="M40" s="15" t="s">
        <v>523</v>
      </c>
      <c r="N40" s="15" t="s">
        <v>524</v>
      </c>
      <c r="O40" s="15" t="s">
        <v>525</v>
      </c>
      <c r="P40" s="17" t="s">
        <v>113</v>
      </c>
      <c r="Q40" s="17" t="s">
        <v>114</v>
      </c>
      <c r="R40" s="17" t="s">
        <v>58</v>
      </c>
      <c r="S40" s="17"/>
    </row>
    <row r="41" spans="8:8" ht="24.0" customHeight="1">
      <c r="A41" s="18" t="s">
        <v>526</v>
      </c>
      <c r="B41" s="7" t="s">
        <v>527</v>
      </c>
      <c r="C41" s="19" t="s">
        <v>372</v>
      </c>
      <c r="D41" s="19" t="s">
        <v>516</v>
      </c>
      <c r="E41" s="19" t="s">
        <v>199</v>
      </c>
      <c r="F41" s="7" t="s">
        <v>395</v>
      </c>
      <c r="G41" s="7" t="s">
        <v>528</v>
      </c>
      <c r="H41" s="7" t="s">
        <v>529</v>
      </c>
      <c r="I41" s="7" t="s">
        <v>530</v>
      </c>
      <c r="J41" s="7" t="s">
        <v>531</v>
      </c>
      <c r="K41" s="7" t="s">
        <v>205</v>
      </c>
      <c r="L41" s="7" t="s">
        <v>532</v>
      </c>
      <c r="M41" s="7" t="s">
        <v>533</v>
      </c>
      <c r="N41" s="7" t="s">
        <v>534</v>
      </c>
      <c r="O41" s="7" t="s">
        <v>535</v>
      </c>
      <c r="P41" s="20" t="s">
        <v>113</v>
      </c>
      <c r="Q41" s="20" t="s">
        <v>114</v>
      </c>
      <c r="R41" s="20" t="s">
        <v>58</v>
      </c>
      <c r="S41" s="20"/>
    </row>
    <row r="42" spans="8:8" ht="24.0" customHeight="1">
      <c r="A42" s="14" t="s">
        <v>536</v>
      </c>
      <c r="B42" s="15" t="s">
        <v>537</v>
      </c>
      <c r="C42" s="16" t="s">
        <v>155</v>
      </c>
      <c r="D42" s="16" t="s">
        <v>44</v>
      </c>
      <c r="E42" s="16" t="s">
        <v>76</v>
      </c>
      <c r="F42" s="15" t="s">
        <v>538</v>
      </c>
      <c r="G42" s="15" t="s">
        <v>539</v>
      </c>
      <c r="H42" s="15" t="s">
        <v>540</v>
      </c>
      <c r="I42" s="15" t="s">
        <v>541</v>
      </c>
      <c r="J42" s="15" t="s">
        <v>134</v>
      </c>
      <c r="K42" s="15" t="s">
        <v>542</v>
      </c>
      <c r="L42" s="15" t="s">
        <v>543</v>
      </c>
      <c r="M42" s="15" t="s">
        <v>544</v>
      </c>
      <c r="N42" s="15" t="s">
        <v>545</v>
      </c>
      <c r="O42" s="15" t="s">
        <v>546</v>
      </c>
      <c r="P42" s="17" t="s">
        <v>113</v>
      </c>
      <c r="Q42" s="17" t="s">
        <v>114</v>
      </c>
      <c r="R42" s="17" t="s">
        <v>58</v>
      </c>
      <c r="S42" s="17"/>
    </row>
    <row r="43" spans="8:8" ht="24.0" customHeight="1">
      <c r="A43" s="18" t="s">
        <v>547</v>
      </c>
      <c r="B43" s="7" t="s">
        <v>548</v>
      </c>
      <c r="C43" s="19" t="s">
        <v>19</v>
      </c>
      <c r="D43" s="19" t="s">
        <v>117</v>
      </c>
      <c r="E43" s="19" t="s">
        <v>142</v>
      </c>
      <c r="F43" s="7" t="s">
        <v>549</v>
      </c>
      <c r="G43" s="7" t="s">
        <v>550</v>
      </c>
      <c r="H43" s="7" t="s">
        <v>105</v>
      </c>
      <c r="I43" s="7" t="s">
        <v>551</v>
      </c>
      <c r="J43" s="7" t="s">
        <v>552</v>
      </c>
      <c r="K43" s="7" t="s">
        <v>553</v>
      </c>
      <c r="L43" s="7" t="s">
        <v>554</v>
      </c>
      <c r="M43" s="7" t="s">
        <v>555</v>
      </c>
      <c r="N43" s="7" t="s">
        <v>556</v>
      </c>
      <c r="O43" s="7" t="s">
        <v>557</v>
      </c>
      <c r="P43" s="20" t="s">
        <v>113</v>
      </c>
      <c r="Q43" s="20" t="s">
        <v>114</v>
      </c>
      <c r="R43" s="20" t="s">
        <v>58</v>
      </c>
      <c r="S43" s="20"/>
    </row>
    <row r="44" spans="8:8" ht="24.0" customHeight="1">
      <c r="A44" s="14" t="s">
        <v>558</v>
      </c>
      <c r="B44" s="15" t="s">
        <v>559</v>
      </c>
      <c r="C44" s="16" t="s">
        <v>11</v>
      </c>
      <c r="D44" s="16" t="s">
        <v>170</v>
      </c>
      <c r="E44" s="16" t="s">
        <v>250</v>
      </c>
      <c r="F44" s="15" t="s">
        <v>395</v>
      </c>
      <c r="G44" s="15" t="s">
        <v>560</v>
      </c>
      <c r="H44" s="15" t="s">
        <v>561</v>
      </c>
      <c r="I44" s="15" t="s">
        <v>562</v>
      </c>
      <c r="J44" s="15" t="s">
        <v>563</v>
      </c>
      <c r="K44" s="15" t="s">
        <v>564</v>
      </c>
      <c r="L44" s="15" t="s">
        <v>565</v>
      </c>
      <c r="M44" s="15" t="s">
        <v>566</v>
      </c>
      <c r="N44" s="15" t="s">
        <v>567</v>
      </c>
      <c r="O44" s="15" t="s">
        <v>568</v>
      </c>
      <c r="P44" s="17" t="s">
        <v>113</v>
      </c>
      <c r="Q44" s="17" t="s">
        <v>114</v>
      </c>
      <c r="R44" s="17" t="s">
        <v>58</v>
      </c>
      <c r="S44" s="17"/>
    </row>
    <row r="45" spans="8:8" ht="24.0" customHeight="1">
      <c r="A45" s="18" t="s">
        <v>569</v>
      </c>
      <c r="B45" s="7" t="s">
        <v>570</v>
      </c>
      <c r="C45" s="19" t="s">
        <v>11</v>
      </c>
      <c r="D45" s="19" t="s">
        <v>75</v>
      </c>
      <c r="E45" s="19" t="s">
        <v>102</v>
      </c>
      <c r="F45" s="7" t="s">
        <v>395</v>
      </c>
      <c r="G45" s="7" t="s">
        <v>571</v>
      </c>
      <c r="H45" s="7" t="s">
        <v>572</v>
      </c>
      <c r="I45" s="7" t="s">
        <v>573</v>
      </c>
      <c r="J45" s="7" t="s">
        <v>574</v>
      </c>
      <c r="K45" s="7" t="s">
        <v>575</v>
      </c>
      <c r="L45" s="7" t="s">
        <v>576</v>
      </c>
      <c r="M45" s="7" t="s">
        <v>577</v>
      </c>
      <c r="N45" s="7" t="s">
        <v>578</v>
      </c>
      <c r="O45" s="7" t="s">
        <v>579</v>
      </c>
      <c r="P45" s="20" t="s">
        <v>113</v>
      </c>
      <c r="Q45" s="20" t="s">
        <v>114</v>
      </c>
      <c r="R45" s="20" t="s">
        <v>58</v>
      </c>
      <c r="S45" s="20"/>
    </row>
    <row r="46" spans="8:8" ht="24.0" customHeight="1">
      <c r="A46" s="14" t="s">
        <v>580</v>
      </c>
      <c r="B46" s="15" t="s">
        <v>581</v>
      </c>
      <c r="C46" s="16" t="s">
        <v>11</v>
      </c>
      <c r="D46" s="16" t="s">
        <v>582</v>
      </c>
      <c r="E46" s="16" t="s">
        <v>583</v>
      </c>
      <c r="F46" s="15" t="s">
        <v>584</v>
      </c>
      <c r="G46" s="15" t="s">
        <v>585</v>
      </c>
      <c r="H46" s="15" t="s">
        <v>586</v>
      </c>
      <c r="I46" s="15" t="s">
        <v>587</v>
      </c>
      <c r="J46" s="15" t="s">
        <v>588</v>
      </c>
      <c r="K46" s="15" t="s">
        <v>589</v>
      </c>
      <c r="L46" s="15" t="s">
        <v>590</v>
      </c>
      <c r="M46" s="15" t="s">
        <v>591</v>
      </c>
      <c r="N46" s="15" t="s">
        <v>592</v>
      </c>
      <c r="O46" s="15" t="s">
        <v>593</v>
      </c>
      <c r="P46" s="17" t="s">
        <v>113</v>
      </c>
      <c r="Q46" s="17" t="s">
        <v>114</v>
      </c>
      <c r="R46" s="17" t="s">
        <v>58</v>
      </c>
      <c r="S46" s="17"/>
    </row>
    <row r="47" spans="8:8" ht="24.0" customHeight="1">
      <c r="A47" s="18" t="s">
        <v>594</v>
      </c>
      <c r="B47" s="7" t="s">
        <v>595</v>
      </c>
      <c r="C47" s="19" t="s">
        <v>11</v>
      </c>
      <c r="D47" s="19" t="s">
        <v>117</v>
      </c>
      <c r="E47" s="19" t="s">
        <v>102</v>
      </c>
      <c r="F47" s="7" t="s">
        <v>395</v>
      </c>
      <c r="G47" s="7" t="s">
        <v>596</v>
      </c>
      <c r="H47" s="7" t="s">
        <v>48</v>
      </c>
      <c r="I47" s="7" t="s">
        <v>597</v>
      </c>
      <c r="J47" s="7" t="s">
        <v>598</v>
      </c>
      <c r="K47" s="7" t="s">
        <v>599</v>
      </c>
      <c r="L47" s="7" t="s">
        <v>600</v>
      </c>
      <c r="M47" s="7" t="s">
        <v>601</v>
      </c>
      <c r="N47" s="7" t="s">
        <v>602</v>
      </c>
      <c r="O47" s="7" t="s">
        <v>603</v>
      </c>
      <c r="P47" s="20" t="s">
        <v>113</v>
      </c>
      <c r="Q47" s="20" t="s">
        <v>114</v>
      </c>
      <c r="R47" s="20" t="s">
        <v>58</v>
      </c>
      <c r="S47" s="20"/>
    </row>
    <row r="48" spans="8:8" ht="24.0" customHeight="1">
      <c r="A48" s="14" t="s">
        <v>604</v>
      </c>
      <c r="B48" s="15" t="s">
        <v>605</v>
      </c>
      <c r="C48" s="16" t="s">
        <v>11</v>
      </c>
      <c r="D48" s="16" t="s">
        <v>212</v>
      </c>
      <c r="E48" s="16" t="s">
        <v>45</v>
      </c>
      <c r="F48" s="15" t="s">
        <v>296</v>
      </c>
      <c r="G48" s="15" t="s">
        <v>606</v>
      </c>
      <c r="H48" s="15" t="s">
        <v>105</v>
      </c>
      <c r="I48" s="15" t="s">
        <v>607</v>
      </c>
      <c r="J48" s="15" t="s">
        <v>608</v>
      </c>
      <c r="K48" s="15" t="s">
        <v>609</v>
      </c>
      <c r="L48" s="15" t="s">
        <v>610</v>
      </c>
      <c r="M48" s="15" t="s">
        <v>611</v>
      </c>
      <c r="N48" s="15" t="s">
        <v>612</v>
      </c>
      <c r="O48" s="15" t="s">
        <v>613</v>
      </c>
      <c r="P48" s="17" t="s">
        <v>113</v>
      </c>
      <c r="Q48" s="17" t="s">
        <v>114</v>
      </c>
      <c r="R48" s="17" t="s">
        <v>58</v>
      </c>
      <c r="S48" s="17"/>
    </row>
    <row r="49" spans="8:8" ht="24.0" customHeight="1">
      <c r="A49" s="18" t="s">
        <v>614</v>
      </c>
      <c r="B49" s="7" t="s">
        <v>615</v>
      </c>
      <c r="C49" s="19" t="s">
        <v>11</v>
      </c>
      <c r="D49" s="19" t="s">
        <v>89</v>
      </c>
      <c r="E49" s="19" t="s">
        <v>102</v>
      </c>
      <c r="F49" s="7" t="s">
        <v>616</v>
      </c>
      <c r="G49" s="7" t="s">
        <v>617</v>
      </c>
      <c r="H49" s="7" t="s">
        <v>48</v>
      </c>
      <c r="I49" s="7" t="s">
        <v>618</v>
      </c>
      <c r="J49" s="7" t="s">
        <v>458</v>
      </c>
      <c r="K49" s="7" t="s">
        <v>619</v>
      </c>
      <c r="L49" s="7" t="s">
        <v>620</v>
      </c>
      <c r="M49" s="7" t="s">
        <v>621</v>
      </c>
      <c r="N49" s="7" t="s">
        <v>622</v>
      </c>
      <c r="O49" s="7" t="s">
        <v>623</v>
      </c>
      <c r="P49" s="20" t="s">
        <v>113</v>
      </c>
      <c r="Q49" s="20" t="s">
        <v>114</v>
      </c>
      <c r="R49" s="20" t="s">
        <v>58</v>
      </c>
      <c r="S49" s="20"/>
    </row>
    <row r="50" spans="8:8" ht="24.0" customHeight="1">
      <c r="A50" s="14" t="s">
        <v>624</v>
      </c>
      <c r="B50" s="15" t="s">
        <v>625</v>
      </c>
      <c r="C50" s="16" t="s">
        <v>11</v>
      </c>
      <c r="D50" s="16" t="s">
        <v>89</v>
      </c>
      <c r="E50" s="16" t="s">
        <v>102</v>
      </c>
      <c r="F50" s="15" t="s">
        <v>616</v>
      </c>
      <c r="G50" s="15" t="s">
        <v>626</v>
      </c>
      <c r="H50" s="15" t="s">
        <v>174</v>
      </c>
      <c r="I50" s="15" t="s">
        <v>627</v>
      </c>
      <c r="J50" s="15" t="s">
        <v>628</v>
      </c>
      <c r="K50" s="15" t="s">
        <v>629</v>
      </c>
      <c r="L50" s="15" t="s">
        <v>630</v>
      </c>
      <c r="M50" s="15" t="s">
        <v>631</v>
      </c>
      <c r="N50" s="15" t="s">
        <v>632</v>
      </c>
      <c r="O50" s="15" t="s">
        <v>633</v>
      </c>
      <c r="P50" s="17" t="s">
        <v>113</v>
      </c>
      <c r="Q50" s="17" t="s">
        <v>114</v>
      </c>
      <c r="R50" s="17" t="s">
        <v>58</v>
      </c>
      <c r="S50" s="17"/>
    </row>
    <row r="51" spans="8:8" ht="24.0" customHeight="1">
      <c r="A51" s="18" t="s">
        <v>634</v>
      </c>
      <c r="B51" s="7" t="s">
        <v>635</v>
      </c>
      <c r="C51" s="19" t="s">
        <v>11</v>
      </c>
      <c r="D51" s="19" t="s">
        <v>89</v>
      </c>
      <c r="E51" s="19" t="s">
        <v>250</v>
      </c>
      <c r="F51" s="7" t="s">
        <v>636</v>
      </c>
      <c r="G51" s="7" t="s">
        <v>251</v>
      </c>
      <c r="H51" s="7" t="s">
        <v>145</v>
      </c>
      <c r="I51" s="7" t="s">
        <v>637</v>
      </c>
      <c r="J51" s="7" t="s">
        <v>458</v>
      </c>
      <c r="K51" s="7" t="s">
        <v>638</v>
      </c>
      <c r="L51" s="7" t="s">
        <v>639</v>
      </c>
      <c r="M51" s="7" t="s">
        <v>640</v>
      </c>
      <c r="N51" s="7" t="s">
        <v>641</v>
      </c>
      <c r="O51" s="7" t="s">
        <v>642</v>
      </c>
      <c r="P51" s="20" t="s">
        <v>113</v>
      </c>
      <c r="Q51" s="20" t="s">
        <v>114</v>
      </c>
      <c r="R51" s="20" t="s">
        <v>58</v>
      </c>
      <c r="S51" s="20"/>
    </row>
    <row r="52" spans="8:8" ht="24.0" customHeight="1">
      <c r="A52" s="14" t="s">
        <v>643</v>
      </c>
      <c r="B52" s="15" t="s">
        <v>644</v>
      </c>
      <c r="C52" s="16" t="s">
        <v>15</v>
      </c>
      <c r="D52" s="16" t="s">
        <v>582</v>
      </c>
      <c r="E52" s="16" t="s">
        <v>645</v>
      </c>
      <c r="F52" s="15" t="s">
        <v>646</v>
      </c>
      <c r="G52" s="15" t="s">
        <v>647</v>
      </c>
      <c r="H52" s="15" t="s">
        <v>456</v>
      </c>
      <c r="I52" s="15" t="s">
        <v>648</v>
      </c>
      <c r="J52" s="15" t="s">
        <v>649</v>
      </c>
      <c r="K52" s="15" t="s">
        <v>650</v>
      </c>
      <c r="L52" s="15" t="s">
        <v>651</v>
      </c>
      <c r="M52" s="15" t="s">
        <v>652</v>
      </c>
      <c r="N52" s="15" t="s">
        <v>653</v>
      </c>
      <c r="O52" s="15" t="s">
        <v>654</v>
      </c>
      <c r="P52" s="17" t="s">
        <v>113</v>
      </c>
      <c r="Q52" s="17" t="s">
        <v>114</v>
      </c>
      <c r="R52" s="17" t="s">
        <v>58</v>
      </c>
      <c r="S52" s="17"/>
    </row>
  </sheetData>
  <autoFilter ref="A1:S52">
    <filterColumn colId="0" showButton="1"/>
  </autoFilter>
  <conditionalFormatting sqref="C2:C52">
    <cfRule type="cellIs" operator="equal" priority="2" dxfId="0">
      <formula>"Pogojno užitna"</formula>
    </cfRule>
    <cfRule type="cellIs" operator="equal" priority="4" dxfId="1">
      <formula>"Strupena"</formula>
    </cfRule>
    <cfRule type="cellIs" operator="equal" priority="3" dxfId="2">
      <formula>"Neužitna"</formula>
    </cfRule>
    <cfRule type="cellIs" operator="equal" priority="6" dxfId="3">
      <formula>"Smrtno strupena"</formula>
    </cfRule>
    <cfRule type="cellIs" operator="equal" priority="7" dxfId="4">
      <formula>"ZAŠČITENA"</formula>
    </cfRule>
    <cfRule type="cellIs" operator="equal" priority="5" dxfId="5">
      <formula>"Zelo strupena"</formula>
    </cfRule>
    <cfRule type="cellIs" operator="equal" priority="1" dxfId="6">
      <formula>"Užitna"</formula>
    </cfRule>
  </conditionalFormatting>
  <pageMargins left="0.75" right="0.75" top="1.0" bottom="1.0" header="0.5" footer="0.5"/>
</worksheet>
</file>

<file path=xl/worksheets/sheet3.xml><?xml version="1.0" encoding="utf-8"?>
<worksheet xmlns:r="http://schemas.openxmlformats.org/officeDocument/2006/relationships" xmlns="http://schemas.openxmlformats.org/spreadsheetml/2006/main">
  <dimension ref="A1:C11"/>
  <sheetViews>
    <sheetView workbookViewId="0">
      <selection activeCell="A1" sqref="A1"/>
    </sheetView>
  </sheetViews>
  <sheetFormatPr defaultRowHeight="15.0" defaultColWidth="10"/>
  <cols>
    <col min="1" max="1" customWidth="1" width="25.0" style="0"/>
    <col min="2" max="2" customWidth="1" width="15.0" style="0"/>
  </cols>
  <sheetData>
    <row r="1" spans="8:8">
      <c r="A1" s="1" t="s">
        <v>681</v>
      </c>
    </row>
    <row r="3" spans="8:8">
      <c r="A3" s="13" t="s">
        <v>682</v>
      </c>
      <c r="B3" s="13" t="s">
        <v>683</v>
      </c>
    </row>
    <row r="4" spans="8:8">
      <c r="A4" s="7" t="s">
        <v>11</v>
      </c>
      <c r="B4" s="21">
        <f>COUNTIF('Baza Gob'!C2:C51,"Užitna")</f>
        <v>32.0</v>
      </c>
    </row>
    <row r="5" spans="8:8">
      <c r="A5" s="7" t="s">
        <v>13</v>
      </c>
      <c r="B5" s="21">
        <f>COUNTIF('Baza Gob'!C2:C51,"Pogojno užitna")</f>
        <v>4.0</v>
      </c>
    </row>
    <row r="6" spans="8:8">
      <c r="A6" s="7" t="s">
        <v>15</v>
      </c>
      <c r="B6" s="21">
        <f>COUNTIF('Baza Gob'!C2:C51,"Neužitna")</f>
        <v>2.0</v>
      </c>
    </row>
    <row r="7" spans="8:8">
      <c r="A7" s="7" t="s">
        <v>155</v>
      </c>
      <c r="B7" s="21">
        <f>COUNTIF('Baza Gob'!C2:C51,"Strupena")</f>
        <v>6.0</v>
      </c>
    </row>
    <row r="8" spans="8:8">
      <c r="A8" s="7" t="s">
        <v>372</v>
      </c>
      <c r="B8" s="21">
        <f>COUNTIF('Baza Gob'!C2:C51,"Zelo strupena")</f>
        <v>2.0</v>
      </c>
    </row>
    <row r="9" spans="8:8">
      <c r="A9" s="7" t="s">
        <v>19</v>
      </c>
      <c r="B9" s="21">
        <f>COUNTIF('Baza Gob'!C2:C51,"Smrtno strupena")</f>
        <v>3.0</v>
      </c>
    </row>
    <row r="10" spans="8:8">
      <c r="A10" s="7" t="s">
        <v>21</v>
      </c>
      <c r="B10" s="21">
        <f>COUNTIF('Baza Gob'!C2:C51,"ZAŠČITENA")</f>
        <v>1.0</v>
      </c>
    </row>
    <row r="11" spans="8:8">
      <c r="A11" s="22" t="s">
        <v>684</v>
      </c>
      <c r="B11" s="23">
        <f>SUM(B4:B10)</f>
        <v>50.0</v>
      </c>
    </row>
  </sheetData>
  <pageMargins left="0.75" right="0.75" top="1.0" bottom="1.0" header="0.5" footer="0.5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24"/>
  <sheetViews>
    <sheetView workbookViewId="0">
      <selection activeCell="A1" sqref="A1"/>
    </sheetView>
  </sheetViews>
  <sheetFormatPr defaultRowHeight="15.0" defaultColWidth="10"/>
  <cols>
    <col min="1" max="1" customWidth="1" width="40.0" style="0"/>
    <col min="2" max="2" customWidth="1" width="40.0" style="0"/>
    <col min="3" max="3" customWidth="1" width="15.0" style="0"/>
  </cols>
  <sheetData>
    <row r="1" spans="8:8">
      <c r="A1" s="24" t="s">
        <v>655</v>
      </c>
      <c r="B1" s="24" t="s">
        <v>656</v>
      </c>
      <c r="C1" s="24" t="s">
        <v>657</v>
      </c>
    </row>
    <row r="2" spans="8:8">
      <c r="A2" s="25" t="s">
        <v>658</v>
      </c>
    </row>
    <row r="3" spans="8:8">
      <c r="B3" s="26" t="s">
        <v>659</v>
      </c>
      <c r="C3" s="27"/>
    </row>
    <row r="4" spans="8:8">
      <c r="B4" s="26" t="s">
        <v>660</v>
      </c>
      <c r="C4" s="27"/>
    </row>
    <row r="5" spans="8:8">
      <c r="B5" s="26" t="s">
        <v>661</v>
      </c>
      <c r="C5" s="27"/>
    </row>
    <row r="6" spans="8:8">
      <c r="B6" s="26" t="s">
        <v>662</v>
      </c>
      <c r="C6" s="27"/>
    </row>
    <row r="7" spans="8:8">
      <c r="B7" s="26" t="s">
        <v>663</v>
      </c>
      <c r="C7" s="27"/>
    </row>
    <row r="8" spans="8:8">
      <c r="B8" s="26" t="s">
        <v>664</v>
      </c>
      <c r="C8" s="27"/>
    </row>
    <row r="9" spans="8:8">
      <c r="A9" s="25" t="s">
        <v>665</v>
      </c>
    </row>
    <row r="10" spans="8:8">
      <c r="B10" s="26" t="s">
        <v>666</v>
      </c>
      <c r="C10" s="27"/>
    </row>
    <row r="11" spans="8:8">
      <c r="B11" s="26" t="s">
        <v>667</v>
      </c>
      <c r="C11" s="27"/>
    </row>
    <row r="12" spans="8:8">
      <c r="B12" s="26" t="s">
        <v>668</v>
      </c>
      <c r="C12" s="27"/>
    </row>
    <row r="13" spans="8:8">
      <c r="B13" s="26" t="s">
        <v>669</v>
      </c>
      <c r="C13" s="27"/>
    </row>
    <row r="14" spans="8:8">
      <c r="B14" s="26" t="s">
        <v>670</v>
      </c>
      <c r="C14" s="27"/>
    </row>
    <row r="15" spans="8:8">
      <c r="B15" s="26" t="s">
        <v>671</v>
      </c>
      <c r="C15" s="27"/>
    </row>
    <row r="16" spans="8:8">
      <c r="A16" s="25" t="s">
        <v>672</v>
      </c>
    </row>
    <row r="17" spans="8:8">
      <c r="B17" s="26" t="s">
        <v>673</v>
      </c>
      <c r="C17" s="27"/>
    </row>
    <row r="18" spans="8:8">
      <c r="B18" s="26" t="s">
        <v>674</v>
      </c>
      <c r="C18" s="27"/>
    </row>
    <row r="19" spans="8:8">
      <c r="B19" s="26" t="s">
        <v>675</v>
      </c>
      <c r="C19" s="27"/>
    </row>
    <row r="20" spans="8:8">
      <c r="B20" s="26" t="s">
        <v>676</v>
      </c>
      <c r="C20" s="27"/>
    </row>
    <row r="21" spans="8:8">
      <c r="A21" s="25" t="s">
        <v>677</v>
      </c>
    </row>
    <row r="22" spans="8:8">
      <c r="B22" s="26" t="s">
        <v>678</v>
      </c>
      <c r="C22" s="27"/>
    </row>
    <row r="23" spans="8:8">
      <c r="B23" s="26" t="s">
        <v>679</v>
      </c>
      <c r="C23" s="27"/>
    </row>
    <row r="24" spans="8:8">
      <c r="B24" s="26" t="s">
        <v>680</v>
      </c>
      <c r="C24" s="27"/>
    </row>
  </sheetData>
  <pageMargins left="0.75" right="0.75" top="1.0" bottom="1.0" header="0.5" footer="0.5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2026-07-16T09:53:48Z</dcterms:created>
  <dcterms:modified xsi:type="dcterms:W3CDTF">2026-07-16T14:29:32Z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42926d7c14bb4e6bbcbd657dd3eb6c5d_23</vt:lpwstr>
  </property>
</Properties>
</file>