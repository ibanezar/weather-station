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1" autoFilterDateGrouping="1"/>
  </bookViews>
  <sheets>
    <sheet name="Uvod in Legenda" sheetId="1" state="visible" r:id="rId1"/>
    <sheet name="Baza Gob" sheetId="2" state="visible" r:id="rId2"/>
    <sheet name="Analitika" sheetId="3" state="visible" r:id="rId3"/>
    <sheet name="Lokacije_Zg_Savinjska" sheetId="4" state="visible" r:id="rId4"/>
  </sheets>
  <definedNames>
    <definedName name="_xlnm._FilterDatabase" localSheetId="1" hidden="1">'Baza Gob'!$A$1:$S$52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sz val="11"/>
    </font>
    <font>
      <name val="Segoe UI"/>
      <b val="1"/>
      <color rgb="FF1E4620"/>
      <sz val="16"/>
    </font>
    <font>
      <name val="Segoe UI"/>
      <i val="1"/>
      <color rgb="FF555555"/>
      <sz val="11"/>
    </font>
    <font>
      <name val="Segoe UI"/>
      <b val="1"/>
      <color rgb="FF1E4620"/>
      <sz val="12"/>
    </font>
    <font>
      <name val="Segoe UI"/>
      <sz val="10"/>
    </font>
    <font>
      <name val="Segoe UI"/>
      <b val="1"/>
      <color rgb="FFFFFFFF"/>
      <sz val="11"/>
    </font>
    <font>
      <name val="Segoe UI"/>
      <b val="1"/>
      <color rgb="FF155724"/>
      <sz val="10"/>
    </font>
    <font>
      <name val="Segoe UI"/>
      <b val="1"/>
      <color rgb="FF856404"/>
      <sz val="10"/>
    </font>
    <font>
      <name val="Segoe UI"/>
      <b val="1"/>
      <color rgb="FF383D41"/>
      <sz val="10"/>
    </font>
    <font>
      <name val="Segoe UI"/>
      <b val="1"/>
      <color rgb="FF721C24"/>
      <sz val="10"/>
    </font>
    <font>
      <name val="Segoe UI"/>
      <b val="1"/>
      <color rgb="FF0C5460"/>
      <sz val="10"/>
    </font>
    <font>
      <name val="Segoe UI"/>
      <b val="1"/>
      <sz val="11"/>
    </font>
    <font>
      <name val="Segoe UI"/>
      <b val="1"/>
      <color rgb="FFFFFFFF"/>
      <sz val="12"/>
    </font>
    <font>
      <name val="Segoe UI"/>
      <b val="1"/>
      <color rgb="FF1E4620"/>
      <sz val="11"/>
    </font>
    <font>
      <name val="Segoe UI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1E4620"/>
        <bgColor rgb="FF1E4620"/>
      </patternFill>
    </fill>
    <fill>
      <patternFill patternType="solid">
        <fgColor rgb="FFC8E6C9"/>
        <bgColor rgb="FFC8E6C9"/>
      </patternFill>
    </fill>
    <fill>
      <patternFill patternType="solid">
        <fgColor rgb="FFFFE0B2"/>
        <bgColor rgb="FFFFE0B2"/>
      </patternFill>
    </fill>
    <fill>
      <patternFill patternType="solid">
        <fgColor rgb="FFE2E3E5"/>
        <bgColor rgb="FFE2E3E5"/>
      </patternFill>
    </fill>
    <fill>
      <patternFill patternType="solid">
        <fgColor rgb="FFFFCDD2"/>
        <bgColor rgb="FFFFCDD2"/>
      </patternFill>
    </fill>
    <fill>
      <patternFill patternType="solid">
        <fgColor rgb="FFF8D7DA"/>
        <bgColor rgb="FFF8D7DA"/>
      </patternFill>
    </fill>
    <fill>
      <patternFill patternType="solid">
        <fgColor rgb="FFD1ECF1"/>
        <bgColor rgb="FFD1ECF1"/>
      </patternFill>
    </fill>
    <fill>
      <patternFill patternType="solid">
        <fgColor rgb="FFF4F8F4"/>
        <bgColor rgb="FFF4F8F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center" wrapText="1"/>
    </xf>
    <xf numFmtId="0" fontId="12" fillId="2" borderId="0" applyAlignment="1" pivotButton="0" quotePrefix="0" xfId="0">
      <alignment vertical="bottom"/>
    </xf>
    <xf numFmtId="0" fontId="13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vertical="bottom"/>
    </xf>
    <xf numFmtId="0" fontId="15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7">
    <dxf>
      <font>
        <b val="1"/>
        <color rgb="FF856404"/>
        <sz val="10"/>
      </font>
      <fill>
        <patternFill patternType="solid">
          <fgColor rgb="FFFFE0B2"/>
          <bgColor rgb="FFFFE0B2"/>
        </patternFill>
      </fill>
    </dxf>
    <dxf>
      <font>
        <b val="1"/>
        <color rgb="FF721C24"/>
        <sz val="10"/>
      </font>
      <fill>
        <patternFill patternType="solid">
          <fgColor rgb="FFFFCDD2"/>
          <bgColor rgb="FFFFCDD2"/>
        </patternFill>
      </fill>
    </dxf>
    <dxf>
      <font>
        <b val="1"/>
        <color rgb="FF383D41"/>
        <sz val="10"/>
      </font>
      <fill>
        <patternFill patternType="solid">
          <fgColor rgb="FFE2E3E5"/>
          <bgColor rgb="FFE2E3E5"/>
        </patternFill>
      </fill>
    </dxf>
    <dxf>
      <font>
        <b val="1"/>
        <color rgb="FF721C24"/>
        <sz val="10"/>
      </font>
      <fill>
        <patternFill patternType="solid">
          <fgColor rgb="FFF8D7DA"/>
          <bgColor rgb="FFF8D7DA"/>
        </patternFill>
      </fill>
    </dxf>
    <dxf>
      <font>
        <b val="1"/>
        <color rgb="FF0C5460"/>
        <sz val="10"/>
      </font>
      <fill>
        <patternFill patternType="solid">
          <fgColor rgb="FFD1ECF1"/>
          <bgColor rgb="FFD1ECF1"/>
        </patternFill>
      </fill>
    </dxf>
    <dxf>
      <font>
        <b val="1"/>
        <color rgb="FF721C24"/>
        <sz val="10"/>
      </font>
      <fill>
        <patternFill patternType="solid">
          <fgColor rgb="FFFFCDD2"/>
          <bgColor rgb="FFFFCDD2"/>
        </patternFill>
      </fill>
    </dxf>
    <dxf>
      <font>
        <b val="1"/>
        <color rgb="FF155724"/>
        <sz val="10"/>
      </font>
      <fill>
        <patternFill patternType="solid">
          <fgColor rgb="FFC8E6C9"/>
          <bgColor rgb="FF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Porazdelitev gob glede na užitnost</a:t>
            </a:r>
          </a:p>
        </rich>
      </tx>
    </title>
    <plotArea>
      <pieChart>
        <varyColors val="1"/>
        <ser>
          <idx val="0"/>
          <order val="0"/>
          <tx>
            <strRef>
              <f>Analitika!B3</f>
              <strCache>
                <ptCount val="1"/>
                <pt idx="0">
                  <v>Število vrst</v>
                </pt>
              </strCache>
            </strRef>
          </tx>
          <spPr>
            <a:ln>
              <a:prstDash val="solid"/>
            </a:ln>
          </spPr>
          <cat>
            <strRef>
              <f>Analitika!$A$4:$A$10</f>
              <strCache>
                <ptCount val="7"/>
                <pt idx="0">
                  <v>Užitna</v>
                </pt>
                <pt idx="1">
                  <v>Pogojno užitna</v>
                </pt>
                <pt idx="2">
                  <v>Neužitna</v>
                </pt>
                <pt idx="3">
                  <v>Strupena</v>
                </pt>
                <pt idx="4">
                  <v>Zelo strupena</v>
                </pt>
                <pt idx="5">
                  <v>Smrtno strupena</v>
                </pt>
                <pt idx="6">
                  <v>ZAŠČITENA</v>
                </pt>
              </strCache>
            </strRef>
          </cat>
          <val>
            <numRef>
              <f>Analitika!$B$4:$B$10</f>
              <numCache>
                <formatCode>General</formatCode>
                <ptCount val="7"/>
                <pt idx="0">
                  <v>32</v>
                </pt>
                <pt idx="1">
                  <v>4</v>
                </pt>
                <pt idx="2">
                  <v>2</v>
                </pt>
                <pt idx="3">
                  <v>6</v>
                </pt>
                <pt idx="4">
                  <v>2</v>
                </pt>
                <pt idx="5">
                  <v>3</v>
                </pt>
                <pt idx="6">
                  <v>1</v>
                </pt>
              </numCache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0</colOff>
      <row>2</row>
      <rowOff>0</rowOff>
    </from>
    <to>
      <col>9</col>
      <colOff>505046</colOff>
      <row>22</row>
      <rowOff>149572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opLeftCell="A27" workbookViewId="0">
      <selection activeCell="A1" sqref="A1"/>
    </sheetView>
  </sheetViews>
  <sheetFormatPr baseColWidth="8" defaultColWidth="10" defaultRowHeight="15"/>
  <cols>
    <col width="50" customWidth="1" style="28" min="1" max="1"/>
    <col width="50" customWidth="1" style="28" min="2" max="2"/>
  </cols>
  <sheetData>
    <row r="1">
      <c r="A1" s="1" t="inlineStr">
        <is>
          <t>Baza Gob Slovenije (50 najpogostejših in priljubljenih vrst)</t>
        </is>
      </c>
    </row>
    <row r="2">
      <c r="A2" s="2" t="inlineStr">
        <is>
          <t>Podrobna interaktivna preglednica s ključnimi ekološkimi, kulinaričnimi in varnostnimi podatki.</t>
        </is>
      </c>
    </row>
    <row r="4">
      <c r="A4" s="3" t="inlineStr">
        <is>
          <t>Navodila za uporabo:</t>
        </is>
      </c>
    </row>
    <row r="5">
      <c r="A5" s="4" t="inlineStr">
        <is>
          <t>1. Preglednica vsebuje 50 najbolj opaznih, pogostih, priljubljenih in tudi nevarnih gob v Sloveniji.</t>
        </is>
      </c>
    </row>
    <row r="6">
      <c r="A6" s="4" t="inlineStr">
        <is>
          <t>2. V zavihku 'Baza Gob' lahko uporabite filtre (puščice v glavi tabele) za filtriranje po užitnosti, času rasti, mikoriznem partnerju itd.</t>
        </is>
      </c>
    </row>
    <row r="7">
      <c r="A7" s="4" t="inlineStr">
        <is>
          <t>3. Stolpec 'Nevarnost zamenjave (Dvojnice)' vsebuje ključne razlike, ki preprečujejo usodne napake pri nabiranju.</t>
        </is>
      </c>
    </row>
    <row r="8">
      <c r="A8" s="4" t="inlineStr">
        <is>
          <t>4. Zavihek 'Analitika' prikazuje statistično porazdelitev vrst glede na njihovo užitnost in grafični prikaz.</t>
        </is>
      </c>
    </row>
    <row r="9">
      <c r="A9" s="4" t="inlineStr">
        <is>
          <t>5. OPOZORILO: Podatki v tej tabeli so informativne narave. Nikoli ne uživajte gob, ki jih 100 % ne prepoznate sami ali s pomočjo determinatorja!</t>
        </is>
      </c>
    </row>
    <row r="12">
      <c r="A12" s="3" t="inlineStr">
        <is>
          <t>Legenda barvnih oznak za užitnost:</t>
        </is>
      </c>
    </row>
    <row r="14">
      <c r="A14" s="5" t="inlineStr">
        <is>
          <t>Kategorija</t>
        </is>
      </c>
      <c r="B14" s="5" t="inlineStr">
        <is>
          <t>Pomen in navodila</t>
        </is>
      </c>
    </row>
    <row r="15">
      <c r="A15" s="6" t="inlineStr">
        <is>
          <t>Užitna</t>
        </is>
      </c>
      <c r="B15" s="7" t="inlineStr">
        <is>
          <t>Goba je varna za kulinarično uporabo (ob primerni pripravi).</t>
        </is>
      </c>
    </row>
    <row r="16">
      <c r="A16" s="8" t="inlineStr">
        <is>
          <t>Pogojno užitna</t>
        </is>
      </c>
      <c r="B16" s="7" t="inlineStr">
        <is>
          <t>Surova je strupena ali težko prebavljiva. Zahteva temeljito toplotno obdelavo (kuhanje).</t>
        </is>
      </c>
    </row>
    <row r="17">
      <c r="A17" s="9" t="inlineStr">
        <is>
          <t>Neužitna</t>
        </is>
      </c>
      <c r="B17" s="7" t="inlineStr">
        <is>
          <t>Goba ni strupena, vendar je zaradi grenkobe, trdote ali slabega vonja neprimerna za prehrano.</t>
        </is>
      </c>
    </row>
    <row r="18">
      <c r="A18" s="10" t="inlineStr">
        <is>
          <t>Strupena / Zelo strupena</t>
        </is>
      </c>
      <c r="B18" s="7" t="inlineStr">
        <is>
          <t>Povzroča blažje do resne prebavne težave, halucinacije ali druge zaplete.</t>
        </is>
      </c>
    </row>
    <row r="19">
      <c r="A19" s="11" t="inlineStr">
        <is>
          <t>Smrtno strupena</t>
        </is>
      </c>
      <c r="B19" s="7" t="inlineStr">
        <is>
          <t>Vsebuje toksine (npr. amatoksin, giromitrin), ki povzročijo odpoved organov in smrt.</t>
        </is>
      </c>
    </row>
    <row r="20">
      <c r="A20" s="12" t="inlineStr">
        <is>
          <t>ZAŠČITENA</t>
        </is>
      </c>
      <c r="B20" s="7" t="inlineStr">
        <is>
          <t>Goba je na rdečem seznamu RS. Nabiranje je zakonsko prepovedano in kaznivo.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6"/>
  <sheetViews>
    <sheetView tabSelected="1" workbookViewId="0">
      <pane xSplit="2" ySplit="1" topLeftCell="J2" activePane="bottomRight" state="frozen"/>
      <selection pane="bottomRight" activeCell="A1" sqref="A1"/>
    </sheetView>
  </sheetViews>
  <sheetFormatPr baseColWidth="8" defaultColWidth="10" defaultRowHeight="15"/>
  <cols>
    <col width="33" customWidth="1" style="28" min="1" max="1"/>
    <col width="29" customWidth="1" style="28" min="2" max="2"/>
    <col width="18" customWidth="1" style="28" min="3" max="3"/>
    <col width="15" customWidth="1" style="28" min="4" max="4"/>
    <col width="20" customWidth="1" style="28" min="5" max="5"/>
    <col width="50" customWidth="1" style="28" min="6" max="6"/>
    <col width="50" customWidth="1" style="28" min="7" max="7"/>
    <col width="50" customWidth="1" style="28" min="8" max="8"/>
    <col width="50" customWidth="1" style="28" min="9" max="9"/>
    <col width="35" customWidth="1" style="28" min="10" max="10"/>
    <col width="35" customWidth="1" style="28" min="11" max="11"/>
    <col width="35" customWidth="1" style="28" min="12" max="12"/>
    <col width="35" customWidth="1" style="28" min="13" max="13"/>
    <col width="45" customWidth="1" style="28" min="14" max="14"/>
    <col width="45" customWidth="1" style="28" min="15" max="15"/>
    <col width="20" customWidth="1" style="28" min="16" max="16"/>
    <col width="20" customWidth="1" style="28" min="17" max="17"/>
    <col width="20" customWidth="1" style="28" min="18" max="18"/>
    <col width="20" customWidth="1" style="28" min="19" max="19"/>
  </cols>
  <sheetData>
    <row r="1" ht="28" customHeight="1" s="28">
      <c r="A1" s="13" t="inlineStr">
        <is>
          <t>Slovensko ime</t>
        </is>
      </c>
      <c r="B1" s="13" t="inlineStr">
        <is>
          <t>Znanstveno ime</t>
        </is>
      </c>
      <c r="C1" s="13" t="inlineStr">
        <is>
          <t>Užitnost</t>
        </is>
      </c>
      <c r="D1" s="13" t="inlineStr">
        <is>
          <t>Čas rasti</t>
        </is>
      </c>
      <c r="E1" s="13" t="inlineStr">
        <is>
          <t>Temp. prag (zrak)</t>
        </is>
      </c>
      <c r="F1" s="13" t="inlineStr">
        <is>
          <t>Mikorizni partner</t>
        </is>
      </c>
      <c r="G1" s="13" t="inlineStr">
        <is>
          <t>Tip rastišča (Prehranjevanje)</t>
        </is>
      </c>
      <c r="H1" s="13" t="inlineStr">
        <is>
          <t>Tip tal (pH vrednost)</t>
        </is>
      </c>
      <c r="I1" s="13" t="inlineStr">
        <is>
          <t>Nevarnost zamenjave (Dvojnice)</t>
        </is>
      </c>
      <c r="J1" s="13" t="inlineStr">
        <is>
          <t>Vonj in okus</t>
        </is>
      </c>
      <c r="K1" s="13" t="inlineStr">
        <is>
          <t>Sprememba barve mesa ob poškodbi</t>
        </is>
      </c>
      <c r="L1" s="13" t="inlineStr">
        <is>
          <t>Shranjevanje in priprava</t>
        </is>
      </c>
      <c r="M1" s="13" t="inlineStr">
        <is>
          <t>Višinski pas in značilna območja</t>
        </is>
      </c>
      <c r="N1" s="13" t="inlineStr">
        <is>
          <t>Pogostost v Zgornji savinjski</t>
        </is>
      </c>
      <c r="O1" s="13" t="inlineStr">
        <is>
          <t>Geološki mikro-teren (Zg. Savinjska)</t>
        </is>
      </c>
      <c r="P1" s="13" t="inlineStr">
        <is>
          <t>Minimalna kumulativna vlaga (7 dni, mm)</t>
        </is>
      </c>
      <c r="Q1" s="13" t="inlineStr">
        <is>
          <t>Optimalni temperaturni pas (°C)</t>
        </is>
      </c>
      <c r="R1" s="13" t="inlineStr">
        <is>
          <t>Vpliv vetra/izsušitve</t>
        </is>
      </c>
      <c r="S1" s="13" t="inlineStr">
        <is>
          <t>Gobarski indeks (Izračun)</t>
        </is>
      </c>
    </row>
    <row r="2" ht="24" customHeight="1" s="28">
      <c r="A2" s="14" t="inlineStr">
        <is>
          <t>Jesenski goban (Jurček)</t>
        </is>
      </c>
      <c r="B2" s="15" t="inlineStr">
        <is>
          <t>Boletus edulis</t>
        </is>
      </c>
      <c r="C2" s="16" t="inlineStr">
        <is>
          <t>Užitna</t>
        </is>
      </c>
      <c r="D2" s="16" t="inlineStr">
        <is>
          <t>Sep – Nov</t>
        </is>
      </c>
      <c r="E2" s="16" t="inlineStr">
        <is>
          <t>8 – 15 °C</t>
        </is>
      </c>
      <c r="F2" s="15" t="inlineStr">
        <is>
          <t>Smreka, bukev, bor, hrast</t>
        </is>
      </c>
      <c r="G2" s="15" t="inlineStr">
        <is>
          <t>Mikoriza; v tleh v iglastih in mešanih gozdovih</t>
        </is>
      </c>
      <c r="H2" s="15" t="inlineStr">
        <is>
          <t>Kisla do nevtralna tla</t>
        </is>
      </c>
      <c r="I2" s="15" t="inlineStr">
        <is>
          <t>Žolčasti goban (Tylopilus felleus) – neužiten; loči se po izrazito grenkem okusu in rožnati trosovnici.</t>
        </is>
      </c>
      <c r="J2" s="15" t="inlineStr">
        <is>
          <t>Prijeten po gobah, sladek</t>
        </is>
      </c>
      <c r="K2" s="15" t="inlineStr">
        <is>
          <t>Meso je čvrsto belo in ne spreminja barve.</t>
        </is>
      </c>
      <c r="L2" s="15" t="inlineStr">
        <is>
          <t>Odličen za sušenje, zamrzovanje, juhe, žar.</t>
        </is>
      </c>
      <c r="M2" s="15" t="inlineStr">
        <is>
          <t>Vse višine, zelo pogost v predalpskih dolinah (npr. Zgornja savinjska) in na Pokljuki.</t>
        </is>
      </c>
      <c r="N2" s="15" t="inlineStr">
        <is>
          <t>Zelo pogost. Masovno nabiran v iglastih gozdovih po vsej dolini, zlasti ob jesenskih ohladitvah.</t>
        </is>
      </c>
      <c r="O2" s="15" t="inlineStr">
        <is>
          <t>Smrekovško pogorje (kisla vulkanska tla, silikati). Odlično zadržuje vlago.</t>
        </is>
      </c>
      <c r="P2" s="17" t="inlineStr">
        <is>
          <t>25-35</t>
        </is>
      </c>
      <c r="Q2" s="17" t="inlineStr">
        <is>
          <t>12-22</t>
        </is>
      </c>
      <c r="R2" s="17" t="inlineStr">
        <is>
          <t>Srednji</t>
        </is>
      </c>
      <c r="S2" s="17" t="n"/>
    </row>
    <row r="3" ht="24" customHeight="1" s="28">
      <c r="A3" s="18" t="inlineStr">
        <is>
          <t>Poletni goban</t>
        </is>
      </c>
      <c r="B3" s="7" t="inlineStr">
        <is>
          <t>Boletus reticulatus</t>
        </is>
      </c>
      <c r="C3" s="19" t="inlineStr">
        <is>
          <t>Užitna</t>
        </is>
      </c>
      <c r="D3" s="19" t="inlineStr">
        <is>
          <t>Maj – Sep</t>
        </is>
      </c>
      <c r="E3" s="19" t="inlineStr">
        <is>
          <t>18 – 24 °C</t>
        </is>
      </c>
      <c r="F3" s="7" t="inlineStr">
        <is>
          <t>Hrast, bukev, gaber, kostanj</t>
        </is>
      </c>
      <c r="G3" s="7" t="inlineStr">
        <is>
          <t>Mikoriza; v tleh v toplih listnatih gozdovih</t>
        </is>
      </c>
      <c r="H3" s="7" t="inlineStr">
        <is>
          <t>Nevtralna do bazična (apnenčasta) tla</t>
        </is>
      </c>
      <c r="I3" s="7" t="inlineStr">
        <is>
          <t>Žolčasti goban (Tylopilus felleus) – neužiten; loči se po izrazito grenkem okusu in mrežici na betu.</t>
        </is>
      </c>
      <c r="J3" s="7" t="inlineStr">
        <is>
          <t>Prijeten, izrazito sladek okus</t>
        </is>
      </c>
      <c r="K3" s="7" t="inlineStr">
        <is>
          <t>Meso ostane belo, pod kožico klobuka rahlo rjavo.</t>
        </is>
      </c>
      <c r="L3" s="7" t="inlineStr">
        <is>
          <t>Sušenje (ojača aromo), zamrzovanje, sveže.</t>
        </is>
      </c>
      <c r="M3" s="7" t="inlineStr">
        <is>
          <t>Pretežno nižine in toplejša gričevja (Kras, Dolenjska, Goričko).</t>
        </is>
      </c>
      <c r="N3" s="7" t="inlineStr">
        <is>
          <t>Manj pogost v alpskem delu, a prisoten v nižjih, listnatih mešanih gozdovih okoli Mozirja in Rečice.</t>
        </is>
      </c>
      <c r="O3" s="7" t="inlineStr">
        <is>
          <t>Golte, Menina planina in toplejši listnati obronki (apnenec, bazična tla). Tla se hitreje sušijo.</t>
        </is>
      </c>
      <c r="P3" s="20" t="inlineStr">
        <is>
          <t>25-35</t>
        </is>
      </c>
      <c r="Q3" s="20" t="inlineStr">
        <is>
          <t>12-22</t>
        </is>
      </c>
      <c r="R3" s="20" t="inlineStr">
        <is>
          <t>Srednji</t>
        </is>
      </c>
      <c r="S3" s="20" t="n"/>
    </row>
    <row r="4" ht="24" customHeight="1" s="28">
      <c r="A4" s="14" t="inlineStr">
        <is>
          <t>Borov goban</t>
        </is>
      </c>
      <c r="B4" s="15" t="inlineStr">
        <is>
          <t>Boletus pinophilus</t>
        </is>
      </c>
      <c r="C4" s="16" t="inlineStr">
        <is>
          <t>Užitna</t>
        </is>
      </c>
      <c r="D4" s="16" t="inlineStr">
        <is>
          <t>Maj – Nov</t>
        </is>
      </c>
      <c r="E4" s="16" t="inlineStr">
        <is>
          <t>8 – 14 °C</t>
        </is>
      </c>
      <c r="F4" s="15" t="inlineStr">
        <is>
          <t>Bor, smreka, bukev</t>
        </is>
      </c>
      <c r="G4" s="15" t="inlineStr">
        <is>
          <t>Mikoriza; v tleh v gorskih iglastih gozdovih, v mahu</t>
        </is>
      </c>
      <c r="H4" s="15" t="inlineStr">
        <is>
          <t>Izrazito kisla tla (igličevje, borovnice)</t>
        </is>
      </c>
      <c r="I4" s="15" t="inlineStr">
        <is>
          <t>Žolčasti goban (Tylopilus felleus) – neužiten, grenak okus. Druge vrste užitnih gobanov.</t>
        </is>
      </c>
      <c r="J4" s="15" t="inlineStr">
        <is>
          <t>Zelo prijeten, oreškast</t>
        </is>
      </c>
      <c r="K4" s="15" t="inlineStr">
        <is>
          <t>Ne spreminja barve, meso je rdečkasto neposredno pod kožico.</t>
        </is>
      </c>
      <c r="L4" s="15" t="inlineStr">
        <is>
          <t>Sušenje, vlaganje, zamrzovanje.</t>
        </is>
      </c>
      <c r="M4" s="15" t="inlineStr">
        <is>
          <t>Višje in gorske lege (Pohorje, Karavanke).</t>
        </is>
      </c>
      <c r="N4" s="15" t="inlineStr">
        <is>
          <t>Zelo pogost v višjih gorskih legah doline (npr. pobočja Smrekovca, Golte).</t>
        </is>
      </c>
      <c r="O4" s="15" t="inlineStr">
        <is>
          <t>Smrekovško pogorje, višje kisle lege pod iglavci.</t>
        </is>
      </c>
      <c r="P4" s="17" t="inlineStr">
        <is>
          <t>25-35</t>
        </is>
      </c>
      <c r="Q4" s="17" t="inlineStr">
        <is>
          <t>12-22</t>
        </is>
      </c>
      <c r="R4" s="17" t="inlineStr">
        <is>
          <t>Srednji</t>
        </is>
      </c>
      <c r="S4" s="17" t="n"/>
    </row>
    <row r="5" ht="24" customHeight="1" s="28">
      <c r="A5" s="18" t="inlineStr">
        <is>
          <t>Črni goban</t>
        </is>
      </c>
      <c r="B5" s="7" t="inlineStr">
        <is>
          <t>Boletus aereus</t>
        </is>
      </c>
      <c r="C5" s="19" t="inlineStr">
        <is>
          <t>Užitna</t>
        </is>
      </c>
      <c r="D5" s="19" t="inlineStr">
        <is>
          <t>Jun – Okt</t>
        </is>
      </c>
      <c r="E5" s="19" t="inlineStr">
        <is>
          <t>20 – 26 °C</t>
        </is>
      </c>
      <c r="F5" s="7" t="inlineStr">
        <is>
          <t>Hrast, pitni kostanj</t>
        </is>
      </c>
      <c r="G5" s="7" t="inlineStr">
        <is>
          <t>Mikoriza; v tleh v toploljubnih listnatih gozdovih</t>
        </is>
      </c>
      <c r="H5" s="7" t="inlineStr">
        <is>
          <t>Nevtralna do bazična (apnenčasta) tla</t>
        </is>
      </c>
      <c r="I5" s="7" t="inlineStr">
        <is>
          <t>Ni nevarnih neposrednih dvojnic zaradi zelo temnega klobuka in čvrstega, nespremenljivega belega mesa.</t>
        </is>
      </c>
      <c r="J5" s="7" t="inlineStr">
        <is>
          <t>Izjemno aromatičen, prijeten</t>
        </is>
      </c>
      <c r="K5" s="7" t="inlineStr">
        <is>
          <t>Meso je snežno belo in nespremenljivo.</t>
        </is>
      </c>
      <c r="L5" s="7" t="inlineStr">
        <is>
          <t>Sušenje, pečenje, carpaccio.</t>
        </is>
      </c>
      <c r="M5" s="7" t="inlineStr">
        <is>
          <t>Toploljubne lege, predvsem slovenska Istra, Kras, Vipavska dolina.</t>
        </is>
      </c>
      <c r="N5" s="7" t="inlineStr">
        <is>
          <t>Redek ali povsem odsoten, saj mu predalpska klima in kisla tla večinoma ne ustrezata.</t>
        </is>
      </c>
      <c r="O5" s="7" t="inlineStr">
        <is>
          <t>Če že raste, izključno na toplejših apnenčastih tleh nižjih leg.</t>
        </is>
      </c>
      <c r="P5" s="20" t="inlineStr">
        <is>
          <t>25-35</t>
        </is>
      </c>
      <c r="Q5" s="20" t="inlineStr">
        <is>
          <t>12-22</t>
        </is>
      </c>
      <c r="R5" s="20" t="inlineStr">
        <is>
          <t>Srednji</t>
        </is>
      </c>
      <c r="S5" s="20" t="n"/>
    </row>
    <row r="6" ht="24" customHeight="1" s="28">
      <c r="A6" s="14" t="inlineStr">
        <is>
          <t>Žametasti goban</t>
        </is>
      </c>
      <c r="B6" s="15" t="inlineStr">
        <is>
          <t>Neoboletus erythropus</t>
        </is>
      </c>
      <c r="C6" s="16" t="inlineStr">
        <is>
          <t>Pogojno užitna</t>
        </is>
      </c>
      <c r="D6" s="16" t="inlineStr">
        <is>
          <t>Maj – Nov</t>
        </is>
      </c>
      <c r="E6" s="16" t="inlineStr">
        <is>
          <t>12 – 20 °C</t>
        </is>
      </c>
      <c r="F6" s="15" t="inlineStr">
        <is>
          <t>Smreka, bukev, hrast</t>
        </is>
      </c>
      <c r="G6" s="15" t="inlineStr">
        <is>
          <t>Mikoriza; v tleh. Surova strupena, obvezno kuhati 15-20 min</t>
        </is>
      </c>
      <c r="H6" s="15" t="inlineStr">
        <is>
          <t>Kisla tla</t>
        </is>
      </c>
      <c r="I6" s="15" t="inlineStr">
        <is>
          <t>Vražji goban (Rubroboletus satanas) – strupen; loči se po zelo svetlem (sivem) klobuku in rasti na apnencu.</t>
        </is>
      </c>
      <c r="J6" s="15" t="inlineStr">
        <is>
          <t>Neizrazit, rahlo kiselkast</t>
        </is>
      </c>
      <c r="K6" s="15" t="inlineStr">
        <is>
          <t>Na prerezu v nekaj sekundah močno in intenzivno pomodri.</t>
        </is>
      </c>
      <c r="L6" s="15" t="inlineStr">
        <is>
          <t>Surov je strupen! Zahteva 15–20 min močnega vrenja ali pečenja.</t>
        </is>
      </c>
      <c r="M6" s="15" t="inlineStr">
        <is>
          <t>Hribovja in gorski gozdovi po vsej Sloveniji.</t>
        </is>
      </c>
      <c r="N6" s="15" t="inlineStr">
        <is>
          <t>Izjemno pogost v gorskih smrekovih gozdovih; priljubljen pri lokalnih poznavalcih.</t>
        </is>
      </c>
      <c r="O6" s="15" t="inlineStr">
        <is>
          <t>Smrekovško pogorje in višja kisla pobočja.</t>
        </is>
      </c>
      <c r="P6" s="17" t="inlineStr">
        <is>
          <t>20-30</t>
        </is>
      </c>
      <c r="Q6" s="17" t="inlineStr">
        <is>
          <t>10-20</t>
        </is>
      </c>
      <c r="R6" s="17" t="inlineStr">
        <is>
          <t>Srednji</t>
        </is>
      </c>
      <c r="S6" s="17" t="n"/>
    </row>
    <row r="7" ht="24" customHeight="1" s="28">
      <c r="A7" s="18" t="inlineStr">
        <is>
          <t>Kostanjevka</t>
        </is>
      </c>
      <c r="B7" s="7" t="inlineStr">
        <is>
          <t>Imleria badia</t>
        </is>
      </c>
      <c r="C7" s="19" t="inlineStr">
        <is>
          <t>Užitna</t>
        </is>
      </c>
      <c r="D7" s="19" t="inlineStr">
        <is>
          <t>Jun – Nov</t>
        </is>
      </c>
      <c r="E7" s="19" t="inlineStr">
        <is>
          <t>10 – 17 °C</t>
        </is>
      </c>
      <c r="F7" s="7" t="inlineStr">
        <is>
          <t>Smreka, rdeči bor</t>
        </is>
      </c>
      <c r="G7" s="7" t="inlineStr">
        <is>
          <t>Mikoriza; v tleh, pogosto raste neposredno v mahu</t>
        </is>
      </c>
      <c r="H7" s="7" t="inlineStr">
        <is>
          <t>Kisle gozdne talne razmere</t>
        </is>
      </c>
      <c r="I7" s="7" t="inlineStr">
        <is>
          <t>Žolčasti goban (Tylopilus felleus) – neužiten, grenak. Kostanjevka močno pomodri na cevkatem delu ob pritisku.</t>
        </is>
      </c>
      <c r="J7" s="7" t="inlineStr">
        <is>
          <t>Prijeten, rahlo saden</t>
        </is>
      </c>
      <c r="K7" s="7" t="inlineStr">
        <is>
          <t>Rumena trosovnica (luknjice) na pritisk takoj zeleno-modro potemni.</t>
        </is>
      </c>
      <c r="L7" s="7" t="inlineStr">
        <is>
          <t>Sušenje, zamrzovanje, mešane jedi.</t>
        </is>
      </c>
      <c r="M7" s="7" t="inlineStr">
        <is>
          <t>Hriboviti in predalpski predeli (Savinjske Alpe, Pohorje).</t>
        </is>
      </c>
      <c r="N7" s="7" t="inlineStr">
        <is>
          <t>Zelo pogosta po vseh smrekovih sestojih v dolini; obilno raste v mahu.</t>
        </is>
      </c>
      <c r="O7" s="7" t="inlineStr">
        <is>
          <t>Smrekovško pogorje, izrazito uspeva na kislih tleh z mahom in borovničevjem.</t>
        </is>
      </c>
      <c r="P7" s="20" t="inlineStr">
        <is>
          <t>20-30</t>
        </is>
      </c>
      <c r="Q7" s="20" t="inlineStr">
        <is>
          <t>10-20</t>
        </is>
      </c>
      <c r="R7" s="20" t="inlineStr">
        <is>
          <t>Srednji</t>
        </is>
      </c>
      <c r="S7" s="20" t="n"/>
    </row>
    <row r="8" ht="24" customHeight="1" s="28">
      <c r="A8" s="14" t="inlineStr">
        <is>
          <t>Rdečebetka</t>
        </is>
      </c>
      <c r="B8" s="15" t="inlineStr">
        <is>
          <t>Xerocomellus chrysenteron</t>
        </is>
      </c>
      <c r="C8" s="16" t="inlineStr">
        <is>
          <t>Užitna</t>
        </is>
      </c>
      <c r="D8" s="16" t="inlineStr">
        <is>
          <t>Jun – Nov</t>
        </is>
      </c>
      <c r="E8" s="16" t="inlineStr">
        <is>
          <t>12 – 20 °C</t>
        </is>
      </c>
      <c r="F8" s="15" t="inlineStr">
        <is>
          <t>Smreka, bukev, bor</t>
        </is>
      </c>
      <c r="G8" s="15" t="inlineStr">
        <is>
          <t>Mikoriza; v tleh, na robovih gozdov, v parkih in jarkih</t>
        </is>
      </c>
      <c r="H8" s="15" t="inlineStr">
        <is>
          <t>Kisla do nevtralna tla</t>
        </is>
      </c>
      <c r="I8" s="15" t="inlineStr">
        <is>
          <t>Sorodni polstenci (npr. rdečeči polstenec), ki so prav tako večinoma užitni.</t>
        </is>
      </c>
      <c r="J8" s="15" t="inlineStr">
        <is>
          <t>Neizrazit</t>
        </is>
      </c>
      <c r="K8" s="15" t="inlineStr">
        <is>
          <t>Meso rahlo pomodri ali na določenih mestih pordeči.</t>
        </is>
      </c>
      <c r="L8" s="15" t="inlineStr">
        <is>
          <t>Mešane jedi, hitra sveža priprava (hitro se kvari).</t>
        </is>
      </c>
      <c r="M8" s="15" t="inlineStr">
        <is>
          <t>Pogost povsod od ravnin do gora.</t>
        </is>
      </c>
      <c r="N8" s="15" t="inlineStr">
        <is>
          <t>Pogosta na obronkih gozdov in ob poteh.</t>
        </is>
      </c>
      <c r="O8" s="15" t="inlineStr">
        <is>
          <t>Prehodna območja, prisotna tako na kislih kot nevtralnih tleh.</t>
        </is>
      </c>
      <c r="P8" s="17" t="inlineStr">
        <is>
          <t>20-30</t>
        </is>
      </c>
      <c r="Q8" s="17" t="inlineStr">
        <is>
          <t>10-20</t>
        </is>
      </c>
      <c r="R8" s="17" t="inlineStr">
        <is>
          <t>Srednji</t>
        </is>
      </c>
      <c r="S8" s="17" t="n"/>
    </row>
    <row r="9" ht="24" customHeight="1" s="28">
      <c r="A9" s="18" t="inlineStr">
        <is>
          <t>Macesnova lupljivka</t>
        </is>
      </c>
      <c r="B9" s="7" t="inlineStr">
        <is>
          <t>Suillus grevillei</t>
        </is>
      </c>
      <c r="C9" s="19" t="inlineStr">
        <is>
          <t>Užitna</t>
        </is>
      </c>
      <c r="D9" s="19" t="inlineStr">
        <is>
          <t>Jun – Nov</t>
        </is>
      </c>
      <c r="E9" s="19" t="inlineStr">
        <is>
          <t>10 – 18 °C</t>
        </is>
      </c>
      <c r="F9" s="7" t="inlineStr">
        <is>
          <t>Izključno macesen (Larix)</t>
        </is>
      </c>
      <c r="G9" s="7" t="inlineStr">
        <is>
          <t>Mikoriza; na tleh pod macesni. Pred uporabo olupiti sluzasto kožico klobuka</t>
        </is>
      </c>
      <c r="H9" s="7" t="inlineStr">
        <is>
          <t>Nevtralna do bazična tla</t>
        </is>
      </c>
      <c r="I9" s="7" t="inlineStr">
        <is>
          <t>Druge maslenke in lupljivke pod iglavci, ki pa so vse užitne in nekatere prav tako sluzaste.</t>
        </is>
      </c>
      <c r="J9" s="7" t="inlineStr">
        <is>
          <t>Milo saden, prijeten</t>
        </is>
      </c>
      <c r="K9" s="7" t="inlineStr">
        <is>
          <t>Meso ne spreminja barve (ali le rahlo rožnato posivi).</t>
        </is>
      </c>
      <c r="L9" s="7" t="inlineStr">
        <is>
          <t>Obvezno odstraniti sluz z macesnovca. Dobri za vlaganje in omake.</t>
        </is>
      </c>
      <c r="M9" s="7" t="inlineStr">
        <is>
          <t>Izključno pod macesni (alpske doline, višje lege).</t>
        </is>
      </c>
      <c r="N9" s="7" t="inlineStr">
        <is>
          <t>Izjemno pogosta v višjih legah (proti Solčavskemu), kjer so pogosti macesni.</t>
        </is>
      </c>
      <c r="O9" s="7" t="inlineStr">
        <is>
          <t>Višje lege Golt in Raduhe (pod macesni na karbonatni podlagi).</t>
        </is>
      </c>
      <c r="P9" s="20" t="inlineStr">
        <is>
          <t>20-30</t>
        </is>
      </c>
      <c r="Q9" s="20" t="inlineStr">
        <is>
          <t>10-20</t>
        </is>
      </c>
      <c r="R9" s="20" t="inlineStr">
        <is>
          <t>Srednji</t>
        </is>
      </c>
      <c r="S9" s="20" t="n"/>
    </row>
    <row r="10" ht="24" customHeight="1" s="28">
      <c r="A10" s="14" t="inlineStr">
        <is>
          <t>Vražji goban</t>
        </is>
      </c>
      <c r="B10" s="15" t="inlineStr">
        <is>
          <t>Rubroboletus satanas</t>
        </is>
      </c>
      <c r="C10" s="16" t="inlineStr">
        <is>
          <t>Strupena</t>
        </is>
      </c>
      <c r="D10" s="16" t="inlineStr">
        <is>
          <t>Jul – Sep</t>
        </is>
      </c>
      <c r="E10" s="16" t="inlineStr">
        <is>
          <t>18 – 25 °C</t>
        </is>
      </c>
      <c r="F10" s="15" t="inlineStr">
        <is>
          <t>Hrast, bukev</t>
        </is>
      </c>
      <c r="G10" s="15" t="inlineStr">
        <is>
          <t>Mikoriza; v tleh v toplih, svetlih listnatih gozdovih</t>
        </is>
      </c>
      <c r="H10" s="15" t="inlineStr">
        <is>
          <t>Bazična (apnenčasta) tla</t>
        </is>
      </c>
      <c r="I10" s="15" t="inlineStr">
        <is>
          <t>Žametasti goban (Neoboletus erythropus) – užiten po kuhanju (ima temno rjav klobuk, vražji pa siv/bel).</t>
        </is>
      </c>
      <c r="J10" s="15" t="inlineStr">
        <is>
          <t>Stare gobe smrdijo po mrhovini</t>
        </is>
      </c>
      <c r="K10" s="15" t="inlineStr">
        <is>
          <t>Meso rahlo do zmerno pomodri na zraku.</t>
        </is>
      </c>
      <c r="L10" s="15" t="inlineStr">
        <is>
          <t>Strupena (povzroča gastrointestinalni sindrom).</t>
        </is>
      </c>
      <c r="M10" s="15" t="inlineStr">
        <is>
          <t>Svetli, topli gozdovi ob morju in na apnenčastem Krasu.</t>
        </is>
      </c>
      <c r="N10" s="15" t="inlineStr">
        <is>
          <t>Praktično odsoten; topla apnenčasta nižinska tla zanj tukaj niso primerna.</t>
        </is>
      </c>
      <c r="O10" s="15" t="inlineStr">
        <is>
          <t>Apnenčasta (bazična) tla nižjih toplejših leg (redko območje za to dolino).</t>
        </is>
      </c>
      <c r="P10" s="17" t="inlineStr">
        <is>
          <t>20-30</t>
        </is>
      </c>
      <c r="Q10" s="17" t="inlineStr">
        <is>
          <t>10-20</t>
        </is>
      </c>
      <c r="R10" s="17" t="inlineStr">
        <is>
          <t>Srednji</t>
        </is>
      </c>
      <c r="S10" s="17" t="n"/>
    </row>
    <row r="11" ht="24" customHeight="1" s="28">
      <c r="A11" s="18" t="inlineStr">
        <is>
          <t>Leponogi postavnež</t>
        </is>
      </c>
      <c r="B11" s="7" t="inlineStr">
        <is>
          <t>Caloboletus calopus</t>
        </is>
      </c>
      <c r="C11" s="19" t="inlineStr">
        <is>
          <t>Neužitna</t>
        </is>
      </c>
      <c r="D11" s="19" t="inlineStr">
        <is>
          <t>Jul – Okt</t>
        </is>
      </c>
      <c r="E11" s="19" t="inlineStr">
        <is>
          <t>10 – 16 °C</t>
        </is>
      </c>
      <c r="F11" s="7" t="inlineStr">
        <is>
          <t>Smreka, bukev</t>
        </is>
      </c>
      <c r="G11" s="7" t="inlineStr">
        <is>
          <t>Mikoriza; v tleh v gorskih iglastih gozdovih</t>
        </is>
      </c>
      <c r="H11" s="7" t="inlineStr">
        <is>
          <t>Kisle talne podlage</t>
        </is>
      </c>
      <c r="I11" s="7" t="inlineStr">
        <is>
          <t>Grenki goban (Caloboletus radicans) – neužiten in grenak. Leponogi ima izrazito rdeč spodnji del beta.</t>
        </is>
      </c>
      <c r="J11" s="7" t="inlineStr">
        <is>
          <t>Kiselkast, okus je neznosno grenak</t>
        </is>
      </c>
      <c r="K11" s="7" t="inlineStr">
        <is>
          <t>Zelo hitro in intenzivno modri/zeleni.</t>
        </is>
      </c>
      <c r="L11" s="7" t="inlineStr">
        <is>
          <t>Neužitna in zaradi grenkobe pokvari celotno jed.</t>
        </is>
      </c>
      <c r="M11" s="7" t="inlineStr">
        <is>
          <t>Višje hribovite lege, mešani gozdovi.</t>
        </is>
      </c>
      <c r="N11" s="7" t="inlineStr">
        <is>
          <t>Precej pogost v višjih gorskih predelih doline.</t>
        </is>
      </c>
      <c r="O11" s="7" t="inlineStr">
        <is>
          <t>Višja prehodna pobočja z nevtralnimi in rahlo kislimi tlemi.</t>
        </is>
      </c>
      <c r="P11" s="20" t="inlineStr">
        <is>
          <t>20-30</t>
        </is>
      </c>
      <c r="Q11" s="20" t="inlineStr">
        <is>
          <t>10-20</t>
        </is>
      </c>
      <c r="R11" s="20" t="inlineStr">
        <is>
          <t>Srednji</t>
        </is>
      </c>
      <c r="S11" s="20" t="n"/>
    </row>
    <row r="12" ht="24" customHeight="1" s="28">
      <c r="A12" s="14" t="inlineStr">
        <is>
          <t>Navadna lisička</t>
        </is>
      </c>
      <c r="B12" s="15" t="inlineStr">
        <is>
          <t>Cantharellus cibarius</t>
        </is>
      </c>
      <c r="C12" s="16" t="inlineStr">
        <is>
          <t>Užitna</t>
        </is>
      </c>
      <c r="D12" s="16" t="inlineStr">
        <is>
          <t>Maj – Nov</t>
        </is>
      </c>
      <c r="E12" s="16" t="inlineStr">
        <is>
          <t>12 – 22 °C</t>
        </is>
      </c>
      <c r="F12" s="15" t="inlineStr">
        <is>
          <t>Smreka, bukev, bor, hrast</t>
        </is>
      </c>
      <c r="G12" s="15" t="inlineStr">
        <is>
          <t>Mikoriza; v tleh, v mahu, borovničevju ali med listjem</t>
        </is>
      </c>
      <c r="H12" s="15" t="inlineStr">
        <is>
          <t>Kisle gozdne talne podlage</t>
        </is>
      </c>
      <c r="I12" s="15" t="inlineStr">
        <is>
          <t>Oljkov livkar (Omphalotus olearius) – strupen; raste v šopih na lesu (predvsem na Primorskem pod oljkami/hrasti).</t>
        </is>
      </c>
      <c r="J12" s="15" t="inlineStr">
        <is>
          <t>Izrazit sadni vonj (po marelicah)</t>
        </is>
      </c>
      <c r="K12" s="15" t="inlineStr">
        <is>
          <t>Meso je belkasto-rumeno in ne spreminja barve.</t>
        </is>
      </c>
      <c r="L12" s="15" t="inlineStr">
        <is>
          <t>Sveža priprava (v jajcih, omake), primerna za zamrzovanje. Slaba za sušenje.</t>
        </is>
      </c>
      <c r="M12" s="15" t="inlineStr">
        <is>
          <t>Vse lege; obilna na Dolenjskem, v Zgornji savinjski dolini, na Gorenjskem.</t>
        </is>
      </c>
      <c r="N12" s="15" t="inlineStr">
        <is>
          <t>Izjemno pogosta in množično nabirana v mahu in borovničevju po vseh gozdovih doline.</t>
        </is>
      </c>
      <c r="O12" s="15" t="inlineStr">
        <is>
          <t>Smrekovško pogorje in vsa kisla pobočja z mahom v dolini.</t>
        </is>
      </c>
      <c r="P12" s="17" t="inlineStr">
        <is>
          <t>30-40</t>
        </is>
      </c>
      <c r="Q12" s="17" t="inlineStr">
        <is>
          <t>15-22</t>
        </is>
      </c>
      <c r="R12" s="17" t="inlineStr">
        <is>
          <t>Srednji</t>
        </is>
      </c>
      <c r="S12" s="17" t="n"/>
    </row>
    <row r="13" ht="24" customHeight="1" s="28">
      <c r="A13" s="18" t="inlineStr">
        <is>
          <t>Lijasta lisička</t>
        </is>
      </c>
      <c r="B13" s="7" t="inlineStr">
        <is>
          <t>Craterellus tubaeformis</t>
        </is>
      </c>
      <c r="C13" s="19" t="inlineStr">
        <is>
          <t>Užitna</t>
        </is>
      </c>
      <c r="D13" s="19" t="inlineStr">
        <is>
          <t>Sep – Dec</t>
        </is>
      </c>
      <c r="E13" s="19" t="inlineStr">
        <is>
          <t>5 – 12 °C</t>
        </is>
      </c>
      <c r="F13" s="7" t="inlineStr">
        <is>
          <t>Smreka, bor</t>
        </is>
      </c>
      <c r="G13" s="7" t="inlineStr">
        <is>
          <t>Mikoriza; v vlažnem mahu pozno jeseni v iglastih gozdovih</t>
        </is>
      </c>
      <c r="H13" s="7" t="inlineStr">
        <is>
          <t>Izrazito kisla in vlažna tla</t>
        </is>
      </c>
      <c r="I13" s="7" t="inlineStr">
        <is>
          <t>Zlatorumena lisička (Cantharellus lutescens) – prav tako užitna, nima tako izrazitih letvic.</t>
        </is>
      </c>
      <c r="J13" s="7" t="inlineStr">
        <is>
          <t>Neizrazit do rahlo po zemlji</t>
        </is>
      </c>
      <c r="K13" s="7" t="inlineStr">
        <is>
          <t>Ne spreminja barve.</t>
        </is>
      </c>
      <c r="L13" s="7" t="inlineStr">
        <is>
          <t>Odlična za sušenje (ne izgubi oblike in arome).</t>
        </is>
      </c>
      <c r="M13" s="7" t="inlineStr">
        <is>
          <t>Hladnejši, vlažni iglasti gozdovi (Alpe in predgorje).</t>
        </is>
      </c>
      <c r="N13" s="7" t="inlineStr">
        <is>
          <t>Jeseni tvori ogromne kolonije v iglastih gozdovih, ki so stalno vlažni.</t>
        </is>
      </c>
      <c r="O13" s="7" t="inlineStr">
        <is>
          <t>Kisle, vlažne globeli Smrekovškega pogorja in predgorja.</t>
        </is>
      </c>
      <c r="P13" s="20" t="inlineStr">
        <is>
          <t>20-30</t>
        </is>
      </c>
      <c r="Q13" s="20" t="inlineStr">
        <is>
          <t>10-20</t>
        </is>
      </c>
      <c r="R13" s="20" t="inlineStr">
        <is>
          <t>Srednji</t>
        </is>
      </c>
      <c r="S13" s="20" t="n"/>
    </row>
    <row r="14" ht="24" customHeight="1" s="28">
      <c r="A14" s="14" t="inlineStr">
        <is>
          <t>Črna trobenta</t>
        </is>
      </c>
      <c r="B14" s="15" t="inlineStr">
        <is>
          <t>Craterellus cornucopioides</t>
        </is>
      </c>
      <c r="C14" s="16" t="inlineStr">
        <is>
          <t>Užitna</t>
        </is>
      </c>
      <c r="D14" s="16" t="inlineStr">
        <is>
          <t>Avg – Nov</t>
        </is>
      </c>
      <c r="E14" s="16" t="inlineStr">
        <is>
          <t>12 – 18 °C</t>
        </is>
      </c>
      <c r="F14" s="15" t="inlineStr">
        <is>
          <t>Bukev, hrast</t>
        </is>
      </c>
      <c r="G14" s="15" t="inlineStr">
        <is>
          <t>Mikoriza; raste na vlažnih tleh, med odpadlim listjem v bukovih gozdovih</t>
        </is>
      </c>
      <c r="H14" s="15" t="inlineStr">
        <is>
          <t>Nevtralna do bazična (glinasta) tla</t>
        </is>
      </c>
      <c r="I14" s="15" t="inlineStr">
        <is>
          <t>Ni nevarnih dvojnic zaradi specifične trobentaste oblike in povsem črne/sive barve.</t>
        </is>
      </c>
      <c r="J14" s="15" t="inlineStr">
        <is>
          <t>Posušena ima izjemen vonj po tartufih/slivah</t>
        </is>
      </c>
      <c r="K14" s="15" t="inlineStr">
        <is>
          <t>Ne spreminja barve (je črna).</t>
        </is>
      </c>
      <c r="L14" s="15" t="inlineStr">
        <is>
          <t>Sušenje in mletje v gobji prah (začimba za omake in juhe).</t>
        </is>
      </c>
      <c r="M14" s="15" t="inlineStr">
        <is>
          <t>Bukovi gozdovi nižin in hribovij.</t>
        </is>
      </c>
      <c r="N14" s="15" t="inlineStr">
        <is>
          <t>Prisotna tam, kjer so močni bukovi sestoji (predvsem nižji in srednji predeli doline).</t>
        </is>
      </c>
      <c r="O14" s="15" t="inlineStr">
        <is>
          <t>Bazična in glinasta tla pod bukvami ob vznožjih Golt in Menine planine.</t>
        </is>
      </c>
      <c r="P14" s="17" t="inlineStr">
        <is>
          <t>20-30</t>
        </is>
      </c>
      <c r="Q14" s="17" t="inlineStr">
        <is>
          <t>10-20</t>
        </is>
      </c>
      <c r="R14" s="17" t="inlineStr">
        <is>
          <t>Srednji</t>
        </is>
      </c>
      <c r="S14" s="17" t="n"/>
    </row>
    <row r="15" ht="24" customHeight="1" s="28">
      <c r="A15" s="18" t="inlineStr">
        <is>
          <t>Rumeni ježek</t>
        </is>
      </c>
      <c r="B15" s="7" t="inlineStr">
        <is>
          <t>Hydnum repandum</t>
        </is>
      </c>
      <c r="C15" s="19" t="inlineStr">
        <is>
          <t>Užitna</t>
        </is>
      </c>
      <c r="D15" s="19" t="inlineStr">
        <is>
          <t>Jul – Nov</t>
        </is>
      </c>
      <c r="E15" s="19" t="inlineStr">
        <is>
          <t>10 – 18 °C</t>
        </is>
      </c>
      <c r="F15" s="7" t="inlineStr">
        <is>
          <t>Bukev, smreka, hrast</t>
        </is>
      </c>
      <c r="G15" s="7" t="inlineStr">
        <is>
          <t>Mikoriza; v tleh, pogosto raste v 'vilinskih krogih' ali dolgih vrstah</t>
        </is>
      </c>
      <c r="H15" s="7" t="inlineStr">
        <is>
          <t>Nevtralna do rahlo bazična tla</t>
        </is>
      </c>
      <c r="I15" s="7" t="inlineStr">
        <is>
          <t>Rdečerjavi ježek (Hydnum rufescens) – manjši, bolj oranžen, prav tako užiten (odstranijo se bodičke).</t>
        </is>
      </c>
      <c r="J15" s="7" t="inlineStr">
        <is>
          <t>Prijeten, starejši pogrenijo</t>
        </is>
      </c>
      <c r="K15" s="7" t="inlineStr">
        <is>
          <t>Zlato-rumeno meso z dotikom rahlo porjavi.</t>
        </is>
      </c>
      <c r="L15" s="7" t="inlineStr">
        <is>
          <t>Vlaganje v kis, mešane gozdarske jedi. Stare je treba prekuhati.</t>
        </is>
      </c>
      <c r="M15" s="7" t="inlineStr">
        <is>
          <t>Zelo pogost v bukovih gozdovih po vsej državi.</t>
        </is>
      </c>
      <c r="N15" s="7" t="inlineStr">
        <is>
          <t>Zelo pogost povsod v bukovih gozdovih.</t>
        </is>
      </c>
      <c r="O15" s="7" t="inlineStr">
        <is>
          <t>Karbonatna podlaga (Golte, Menina), nevtralna in bazična tla.</t>
        </is>
      </c>
      <c r="P15" s="20" t="inlineStr">
        <is>
          <t>20-30</t>
        </is>
      </c>
      <c r="Q15" s="20" t="inlineStr">
        <is>
          <t>10-20</t>
        </is>
      </c>
      <c r="R15" s="20" t="inlineStr">
        <is>
          <t>Srednji</t>
        </is>
      </c>
      <c r="S15" s="20" t="n"/>
    </row>
    <row r="16" ht="24" customHeight="1" s="28">
      <c r="A16" s="14" t="inlineStr">
        <is>
          <t>Modrikasta golobica</t>
        </is>
      </c>
      <c r="B16" s="15" t="inlineStr">
        <is>
          <t>Russula cyanoxantha</t>
        </is>
      </c>
      <c r="C16" s="16" t="inlineStr">
        <is>
          <t>Užitna</t>
        </is>
      </c>
      <c r="D16" s="16" t="inlineStr">
        <is>
          <t>Jun – Nov</t>
        </is>
      </c>
      <c r="E16" s="16" t="inlineStr">
        <is>
          <t>12 – 20 °C</t>
        </is>
      </c>
      <c r="F16" s="15" t="inlineStr">
        <is>
          <t>Bukev, hrast, smreka</t>
        </is>
      </c>
      <c r="G16" s="15" t="inlineStr">
        <is>
          <t>Mikoriza; v tleh, v listnatih in mešanih gozdovih</t>
        </is>
      </c>
      <c r="H16" s="15" t="inlineStr">
        <is>
          <t>Nevtralna do rahlo kisla tla</t>
        </is>
      </c>
      <c r="I16" s="15" t="inlineStr">
        <is>
          <t>Zelena mušnica (Amanita phalloides) – smrtno strupena; mušnica ima obroček na betu in lupino v dnu beta, golobica ne.</t>
        </is>
      </c>
      <c r="J16" s="15" t="inlineStr">
        <is>
          <t>Blag, spominja na lešnike</t>
        </is>
      </c>
      <c r="K16" s="15" t="inlineStr">
        <is>
          <t>Ne spreminja barve.</t>
        </is>
      </c>
      <c r="L16" s="15" t="inlineStr">
        <is>
          <t>Hitro pečenje na žaru, juhe, sveže jedi.</t>
        </is>
      </c>
      <c r="M16" s="15" t="inlineStr">
        <is>
          <t>Povsod, zelo prisotna v mešanih listnatih gozdovih.</t>
        </is>
      </c>
      <c r="N16" s="15" t="inlineStr">
        <is>
          <t>Prisotna v mešanih in listnatih delih gozdov ob Savinji.</t>
        </is>
      </c>
      <c r="O16" s="15" t="inlineStr">
        <is>
          <t>Mešani gozdovi s prehodno kislostjo (nevtralna tla).</t>
        </is>
      </c>
      <c r="P16" s="17" t="inlineStr">
        <is>
          <t>20-30</t>
        </is>
      </c>
      <c r="Q16" s="17" t="inlineStr">
        <is>
          <t>10-20</t>
        </is>
      </c>
      <c r="R16" s="17" t="inlineStr">
        <is>
          <t>Srednji</t>
        </is>
      </c>
      <c r="S16" s="17" t="n"/>
    </row>
    <row r="17" ht="24" customHeight="1" s="28">
      <c r="A17" s="18" t="inlineStr">
        <is>
          <t>Užitna golobica</t>
        </is>
      </c>
      <c r="B17" s="7" t="inlineStr">
        <is>
          <t>Russula vesca</t>
        </is>
      </c>
      <c r="C17" s="19" t="inlineStr">
        <is>
          <t>Užitna</t>
        </is>
      </c>
      <c r="D17" s="19" t="inlineStr">
        <is>
          <t>Jun – Okt</t>
        </is>
      </c>
      <c r="E17" s="19" t="inlineStr">
        <is>
          <t>14 – 22 °C</t>
        </is>
      </c>
      <c r="F17" s="7" t="inlineStr">
        <is>
          <t>Hrast, bukev</t>
        </is>
      </c>
      <c r="G17" s="7" t="inlineStr">
        <is>
          <t>Mikoriza; v tleh v svetlih listnatih gozdovih</t>
        </is>
      </c>
      <c r="H17" s="7" t="inlineStr">
        <is>
          <t>Nevtralna do kisla tla</t>
        </is>
      </c>
      <c r="I17" s="7" t="inlineStr">
        <is>
          <t>Druge rdeče golobice – nekatere so pekoče in neužitne/strupene (pripravite test s konico jezika).</t>
        </is>
      </c>
      <c r="J17" s="7" t="inlineStr">
        <is>
          <t>Po orehih, sladek in prijeten</t>
        </is>
      </c>
      <c r="K17" s="7" t="inlineStr">
        <is>
          <t>Belo meso sčasoma zaradi starosti rjavkasto lisato.</t>
        </is>
      </c>
      <c r="L17" s="7" t="inlineStr">
        <is>
          <t>Uporabna vsestransko (pečenje, praženje).</t>
        </is>
      </c>
      <c r="M17" s="7" t="inlineStr">
        <is>
          <t>Nižinski in hriboviti hrastovo-bukovi gozdovi.</t>
        </is>
      </c>
      <c r="N17" s="7" t="inlineStr">
        <is>
          <t>Pogosta na obronkih in v svetlejših gozdovih nižjega dela doline.</t>
        </is>
      </c>
      <c r="O17" s="7" t="inlineStr">
        <is>
          <t>Zelo prilagodljiva; prehodi med apnencem in silikatom.</t>
        </is>
      </c>
      <c r="P17" s="20" t="inlineStr">
        <is>
          <t>20-30</t>
        </is>
      </c>
      <c r="Q17" s="20" t="inlineStr">
        <is>
          <t>10-20</t>
        </is>
      </c>
      <c r="R17" s="20" t="inlineStr">
        <is>
          <t>Srednji</t>
        </is>
      </c>
      <c r="S17" s="20" t="n"/>
    </row>
    <row r="18" ht="24" customHeight="1" s="28">
      <c r="A18" s="14" t="inlineStr">
        <is>
          <t>Zelena golobica</t>
        </is>
      </c>
      <c r="B18" s="15" t="inlineStr">
        <is>
          <t>Russula virescens</t>
        </is>
      </c>
      <c r="C18" s="16" t="inlineStr">
        <is>
          <t>Užitna</t>
        </is>
      </c>
      <c r="D18" s="16" t="inlineStr">
        <is>
          <t>Jun – Okt</t>
        </is>
      </c>
      <c r="E18" s="16" t="inlineStr">
        <is>
          <t>15 – 22 °C</t>
        </is>
      </c>
      <c r="F18" s="15" t="inlineStr">
        <is>
          <t>Hrast, bukev</t>
        </is>
      </c>
      <c r="G18" s="15" t="inlineStr">
        <is>
          <t>Mikoriza; v tleh, v svetlih in toplih listnatih gozdovih</t>
        </is>
      </c>
      <c r="H18" s="15" t="inlineStr">
        <is>
          <t>Nevtralna do rahlo bazična tla</t>
        </is>
      </c>
      <c r="I18" s="15" t="inlineStr">
        <is>
          <t>Zelena mušnica (Amanita phalloides) – smrtno strupena! Mušnica ima kožnat obroček in lupino (vrečko) v dnu beta.</t>
        </is>
      </c>
      <c r="J18" s="15" t="inlineStr">
        <is>
          <t>Sladkast, surov je zelo hrustljav</t>
        </is>
      </c>
      <c r="K18" s="15" t="inlineStr">
        <is>
          <t>Ne spreminja barve, zelo čvrsto meso.</t>
        </is>
      </c>
      <c r="L18" s="15" t="inlineStr">
        <is>
          <t>Kulinarično ena najbolj iskanih golobic (za na žar).</t>
        </is>
      </c>
      <c r="M18" s="15" t="inlineStr">
        <is>
          <t>Toplejša gričevja v osrednji in južni Sloveniji.</t>
        </is>
      </c>
      <c r="N18" s="15" t="inlineStr">
        <is>
          <t>Najdemo jo v nekoliko toplejših mikro-klimah nižje po dolini.</t>
        </is>
      </c>
      <c r="O18" s="15" t="inlineStr">
        <is>
          <t>Toplejši in svetlejši listnati gozdovi na apnencu.</t>
        </is>
      </c>
      <c r="P18" s="17" t="inlineStr">
        <is>
          <t>20-30</t>
        </is>
      </c>
      <c r="Q18" s="17" t="inlineStr">
        <is>
          <t>10-20</t>
        </is>
      </c>
      <c r="R18" s="17" t="inlineStr">
        <is>
          <t>Srednji</t>
        </is>
      </c>
      <c r="S18" s="17" t="n"/>
    </row>
    <row r="19" ht="24" customHeight="1" s="28">
      <c r="A19" s="18" t="inlineStr">
        <is>
          <t>Bljuvna golobica</t>
        </is>
      </c>
      <c r="B19" s="7" t="inlineStr">
        <is>
          <t>Russula emetica</t>
        </is>
      </c>
      <c r="C19" s="19" t="inlineStr">
        <is>
          <t>Strupena</t>
        </is>
      </c>
      <c r="D19" s="19" t="inlineStr">
        <is>
          <t>Jul – Okt</t>
        </is>
      </c>
      <c r="E19" s="19" t="inlineStr">
        <is>
          <t>10 – 18 °C</t>
        </is>
      </c>
      <c r="F19" s="7" t="inlineStr">
        <is>
          <t>Smreka, rdeči bor</t>
        </is>
      </c>
      <c r="G19" s="7" t="inlineStr">
        <is>
          <t>Mikoriza; v vlažnih iglastih gozdovih, barjih, na šotnem mahu</t>
        </is>
      </c>
      <c r="H19" s="7" t="inlineStr">
        <is>
          <t>Zelo kisla in mokrotna tla</t>
        </is>
      </c>
      <c r="I19" s="7" t="inlineStr">
        <is>
          <t>Užitne rdeče golobice – bljuvna je izjemno pekoča in povzroča hude prebavne motnje.</t>
        </is>
      </c>
      <c r="J19" s="7" t="inlineStr">
        <is>
          <t>Saden vonj, okus pa neznosno in takoj peče</t>
        </is>
      </c>
      <c r="K19" s="7" t="inlineStr">
        <is>
          <t>Bela, nespremenljiva.</t>
        </is>
      </c>
      <c r="L19" s="7" t="inlineStr">
        <is>
          <t>Strupena (huda slabost in bruhanje).</t>
        </is>
      </c>
      <c r="M19" s="7" t="inlineStr">
        <is>
          <t>Barjanska območja (npr. Pokljuka), mokrotna tla gora.</t>
        </is>
      </c>
      <c r="N19" s="7" t="inlineStr">
        <is>
          <t>Pogosta na območjih, kjer se zadržuje voda, ter na šotnatih/mokrotnih tleh više v hribih.</t>
        </is>
      </c>
      <c r="O19" s="7" t="inlineStr">
        <is>
          <t>Kisla, šotna in mokrotna tla Smrekovca.</t>
        </is>
      </c>
      <c r="P19" s="20" t="inlineStr">
        <is>
          <t>20-30</t>
        </is>
      </c>
      <c r="Q19" s="20" t="inlineStr">
        <is>
          <t>10-20</t>
        </is>
      </c>
      <c r="R19" s="20" t="inlineStr">
        <is>
          <t>Srednji</t>
        </is>
      </c>
      <c r="S19" s="20" t="n"/>
    </row>
    <row r="20" ht="24" customHeight="1" s="28">
      <c r="A20" s="14" t="inlineStr">
        <is>
          <t>Užitna sirovka</t>
        </is>
      </c>
      <c r="B20" s="15" t="inlineStr">
        <is>
          <t>Lactarius deliciosus</t>
        </is>
      </c>
      <c r="C20" s="16" t="inlineStr">
        <is>
          <t>Užitna</t>
        </is>
      </c>
      <c r="D20" s="16" t="inlineStr">
        <is>
          <t>Avg – Nov</t>
        </is>
      </c>
      <c r="E20" s="16" t="inlineStr">
        <is>
          <t>8 – 15 °C</t>
        </is>
      </c>
      <c r="F20" s="15" t="inlineStr">
        <is>
          <t>Izključno rdeči in črni bor (Pinus)</t>
        </is>
      </c>
      <c r="G20" s="15" t="inlineStr">
        <is>
          <t>Mikoriza; na tleh, v travi ali pesku pod bori</t>
        </is>
      </c>
      <c r="H20" s="15" t="inlineStr">
        <is>
          <t>Bazična do nevtralna tla (apnenec)</t>
        </is>
      </c>
      <c r="I20" s="15" t="inlineStr">
        <is>
          <t>Navadna tura (Lactarius torminosus) – strupena; raste pod brezami in izloča bel, zelo pekoč mleček.</t>
        </is>
      </c>
      <c r="J20" s="15" t="inlineStr">
        <is>
          <t>Prijeten, rahlo kiselkast</t>
        </is>
      </c>
      <c r="K20" s="15" t="inlineStr">
        <is>
          <t>Izloča oranžen mleček; poškodovana mesta sčasoma blago pozelenijo.</t>
        </is>
      </c>
      <c r="L20" s="15" t="inlineStr">
        <is>
          <t>Najboljša hitro popečena na plošči z malo soli in česna. Vlaganje.</t>
        </is>
      </c>
      <c r="M20" s="15" t="inlineStr">
        <is>
          <t>Borovi gozdovi Krasa in peščena tla.</t>
        </is>
      </c>
      <c r="N20" s="15" t="inlineStr">
        <is>
          <t>Manj pogosta zaradi manjka čistih borovih sestojev, a raste tam, kjer so posamezni bori.</t>
        </is>
      </c>
      <c r="O20" s="15" t="inlineStr">
        <is>
          <t>Kjer so bori na apnenčasti podlagi ali prodnatih rečnih nanosih.</t>
        </is>
      </c>
      <c r="P20" s="17" t="inlineStr">
        <is>
          <t>20-30</t>
        </is>
      </c>
      <c r="Q20" s="17" t="inlineStr">
        <is>
          <t>10-20</t>
        </is>
      </c>
      <c r="R20" s="17" t="inlineStr">
        <is>
          <t>Srednji</t>
        </is>
      </c>
      <c r="S20" s="17" t="n"/>
    </row>
    <row r="21" ht="24" customHeight="1" s="28">
      <c r="A21" s="18" t="inlineStr">
        <is>
          <t>Smrekova sirovka</t>
        </is>
      </c>
      <c r="B21" s="7" t="inlineStr">
        <is>
          <t>Lactarius deterrimus</t>
        </is>
      </c>
      <c r="C21" s="19" t="inlineStr">
        <is>
          <t>Užitna</t>
        </is>
      </c>
      <c r="D21" s="19" t="inlineStr">
        <is>
          <t>Jul – Nov</t>
        </is>
      </c>
      <c r="E21" s="19" t="inlineStr">
        <is>
          <t>10 – 18 °C</t>
        </is>
      </c>
      <c r="F21" s="7" t="inlineStr">
        <is>
          <t>Izključno smreka (Picea)</t>
        </is>
      </c>
      <c r="G21" s="7" t="inlineStr">
        <is>
          <t>Mikoriza; na tleh v vlažnih smrekovih gozdovih, med mahom</t>
        </is>
      </c>
      <c r="H21" s="7" t="inlineStr">
        <is>
          <t>Kisla do nevtralna tla</t>
        </is>
      </c>
      <c r="I21" s="7" t="inlineStr">
        <is>
          <t>Druge sirovke z oranžnim mlečkom – vse so užitne (smrekova hitro pozeleni na mestih poškodb).</t>
        </is>
      </c>
      <c r="J21" s="7" t="inlineStr">
        <is>
          <t>Podoben pravi sirovki</t>
        </is>
      </c>
      <c r="K21" s="7" t="inlineStr">
        <is>
          <t>Oranžen mleček, ki zelo hitro vinsko rdeče do intenzivno zeleno oksidira.</t>
        </is>
      </c>
      <c r="L21" s="7" t="inlineStr">
        <is>
          <t>Pečenje (vendar je nekoliko manj aromatična kot užitna sirovka).</t>
        </is>
      </c>
      <c r="M21" s="7" t="inlineStr">
        <is>
          <t>Predalpske doline, pod smrekami (npr. Pohorje, Savinjske Alpe).</t>
        </is>
      </c>
      <c r="N21" s="7" t="inlineStr">
        <is>
          <t>Izjemno pogosta, raste praktično v vsakem vlažnem smrekovem gozdu; zelo priljubljena.</t>
        </is>
      </c>
      <c r="O21" s="7" t="inlineStr">
        <is>
          <t>Smrekovško pogorje in vsa smrekova pobočja s kislotnim ali nevtralnim pH.</t>
        </is>
      </c>
      <c r="P21" s="20" t="inlineStr">
        <is>
          <t>20-30</t>
        </is>
      </c>
      <c r="Q21" s="20" t="inlineStr">
        <is>
          <t>10-20</t>
        </is>
      </c>
      <c r="R21" s="20" t="inlineStr">
        <is>
          <t>Srednji</t>
        </is>
      </c>
      <c r="S21" s="20" t="n"/>
    </row>
    <row r="22" ht="24" customHeight="1" s="28">
      <c r="A22" s="14" t="inlineStr">
        <is>
          <t>Kravja mlečnica</t>
        </is>
      </c>
      <c r="B22" s="15" t="inlineStr">
        <is>
          <t>Lactifluus piperatus</t>
        </is>
      </c>
      <c r="C22" s="16" t="inlineStr">
        <is>
          <t>Pogojno užitna</t>
        </is>
      </c>
      <c r="D22" s="16" t="inlineStr">
        <is>
          <t>Jul – Okt</t>
        </is>
      </c>
      <c r="E22" s="16" t="inlineStr">
        <is>
          <t>15 – 22 °C</t>
        </is>
      </c>
      <c r="F22" s="15" t="inlineStr">
        <is>
          <t>Bukev, hrast</t>
        </is>
      </c>
      <c r="G22" s="15" t="inlineStr">
        <is>
          <t>Mikoriza; v tleh, v gostih listnatih gozdovih. Užitna le močno pečena</t>
        </is>
      </c>
      <c r="H22" s="15" t="inlineStr">
        <is>
          <t>Nevtralna do bazična (glinasta) tla</t>
        </is>
      </c>
      <c r="I22" s="15" t="inlineStr">
        <is>
          <t>Polsteni mlečnik (Lactifluus vellereus) – neužiten; ima žametno dlako na klobuku in bolj razmaknjene lističe.</t>
        </is>
      </c>
      <c r="J22" s="15" t="inlineStr">
        <is>
          <t>Oster, mleček peče kot čili</t>
        </is>
      </c>
      <c r="K22" s="15" t="inlineStr">
        <is>
          <t>Bel mleček, ki na zraku počasi rumeni ali pa ostane bel.</t>
        </is>
      </c>
      <c r="L22" s="15" t="inlineStr">
        <is>
          <t>Vlaganje ali močno in dolgotrajno pečenje do hrustljavosti (uniči pekočino).</t>
        </is>
      </c>
      <c r="M22" s="15" t="inlineStr">
        <is>
          <t>Zelo razširjena v mešanih gozdovih.</t>
        </is>
      </c>
      <c r="N22" s="15" t="inlineStr">
        <is>
          <t>Pogosta v nižinskih in mešanih gozdovih.</t>
        </is>
      </c>
      <c r="O22" s="15" t="inlineStr">
        <is>
          <t>Glinasta in bazična tla listnatih gozdov v nižinah.</t>
        </is>
      </c>
      <c r="P22" s="17" t="inlineStr">
        <is>
          <t>20-30</t>
        </is>
      </c>
      <c r="Q22" s="17" t="inlineStr">
        <is>
          <t>10-20</t>
        </is>
      </c>
      <c r="R22" s="17" t="inlineStr">
        <is>
          <t>Srednji</t>
        </is>
      </c>
      <c r="S22" s="17" t="n"/>
    </row>
    <row r="23" ht="24" customHeight="1" s="28">
      <c r="A23" s="18" t="inlineStr">
        <is>
          <t>Polsteni mlečnik</t>
        </is>
      </c>
      <c r="B23" s="7" t="inlineStr">
        <is>
          <t>Lactifluus vellereus</t>
        </is>
      </c>
      <c r="C23" s="19" t="inlineStr">
        <is>
          <t>Neužitna</t>
        </is>
      </c>
      <c r="D23" s="19" t="inlineStr">
        <is>
          <t>Jul – Okt</t>
        </is>
      </c>
      <c r="E23" s="19" t="inlineStr">
        <is>
          <t>15 – 22 °C</t>
        </is>
      </c>
      <c r="F23" s="7" t="inlineStr">
        <is>
          <t>Bukev, hrast, smreka</t>
        </is>
      </c>
      <c r="G23" s="7" t="inlineStr">
        <is>
          <t>Mikoriza; v tleh v listnatih in mešanih gozdovih</t>
        </is>
      </c>
      <c r="H23" s="7" t="inlineStr">
        <is>
          <t>Kisla do nevtralna tla</t>
        </is>
      </c>
      <c r="I23" s="7" t="inlineStr">
        <is>
          <t>Kravja mlečnica (Lactifluus piperatus) – pogojno užitna; ima popolnoma gladko kožico klobuka.</t>
        </is>
      </c>
      <c r="J23" s="7" t="inlineStr">
        <is>
          <t>Rahlo kiselkast, pekoč in trpek</t>
        </is>
      </c>
      <c r="K23" s="7" t="inlineStr">
        <is>
          <t>Mleček je bel, na zraku rahlo rumeni.</t>
        </is>
      </c>
      <c r="L23" s="7" t="inlineStr">
        <is>
          <t>Neužitna zaradi izjemno trde, plutaste strukture.</t>
        </is>
      </c>
      <c r="M23" s="7" t="inlineStr">
        <is>
          <t>Listnati gozdovi po vsej Sloveniji.</t>
        </is>
      </c>
      <c r="N23" s="7" t="inlineStr">
        <is>
          <t>Prisotna, a neužitna.</t>
        </is>
      </c>
      <c r="O23" s="7" t="inlineStr">
        <is>
          <t>Široko prilagodljiva po vsej dolini v mešanih gozdovih.</t>
        </is>
      </c>
      <c r="P23" s="20" t="inlineStr">
        <is>
          <t>20-30</t>
        </is>
      </c>
      <c r="Q23" s="20" t="inlineStr">
        <is>
          <t>10-20</t>
        </is>
      </c>
      <c r="R23" s="20" t="inlineStr">
        <is>
          <t>Srednji</t>
        </is>
      </c>
      <c r="S23" s="20" t="n"/>
    </row>
    <row r="24" ht="24" customHeight="1" s="28">
      <c r="A24" s="14" t="inlineStr">
        <is>
          <t>Knežja mušnica (Karželj)</t>
        </is>
      </c>
      <c r="B24" s="15" t="inlineStr">
        <is>
          <t>Amanita caesarea</t>
        </is>
      </c>
      <c r="C24" s="16" t="inlineStr">
        <is>
          <t>ZAŠČITENA</t>
        </is>
      </c>
      <c r="D24" s="16" t="inlineStr">
        <is>
          <t>Jul – Okt</t>
        </is>
      </c>
      <c r="E24" s="16" t="inlineStr">
        <is>
          <t>18 – 26 °C</t>
        </is>
      </c>
      <c r="F24" s="15" t="inlineStr">
        <is>
          <t>Hrast, pitni kostanj</t>
        </is>
      </c>
      <c r="G24" s="15" t="inlineStr">
        <is>
          <t>Mikoriza; v tleh na toplih, južnih in sončnih legah gozdov</t>
        </is>
      </c>
      <c r="H24" s="15" t="inlineStr">
        <is>
          <t>Bazična (apnenčasta) tla</t>
        </is>
      </c>
      <c r="I24" s="15" t="inlineStr">
        <is>
          <t>Rdeča mušnica (Amanita muscaria) – strupena; rdeča mušnica ima bele lističe in bet ter luskice, karželj pa je živo rumen.</t>
        </is>
      </c>
      <c r="J24" s="15" t="inlineStr">
        <is>
          <t>Neizrazit do blago oreškast</t>
        </is>
      </c>
      <c r="K24" s="15" t="inlineStr">
        <is>
          <t>Rumeno meso in lističi ne spreminjajo barve.</t>
        </is>
      </c>
      <c r="L24" s="15" t="inlineStr">
        <is>
          <t>Zakonsko zaščitena. (Kjer je dovoljeno, se uživa celo surova kot carpaccio).</t>
        </is>
      </c>
      <c r="M24" s="15" t="inlineStr">
        <is>
          <t>Izključno tople južne lege (Goriška Brda, Kras, Vipava).</t>
        </is>
      </c>
      <c r="N24" s="15" t="inlineStr">
        <is>
          <t>Odsotna. Klima je za to mediteransko/submediteransko vrsto prehladna.</t>
        </is>
      </c>
      <c r="O24" s="15" t="inlineStr">
        <is>
          <t>Apnenčasta in sončna tla (če bi bila mikroklima dovolj topla).</t>
        </is>
      </c>
      <c r="P24" s="17" t="inlineStr">
        <is>
          <t>20-30</t>
        </is>
      </c>
      <c r="Q24" s="17" t="inlineStr">
        <is>
          <t>12-20</t>
        </is>
      </c>
      <c r="R24" s="17" t="inlineStr">
        <is>
          <t>Srednji</t>
        </is>
      </c>
      <c r="S24" s="17" t="n"/>
    </row>
    <row r="25" ht="24" customHeight="1" s="28">
      <c r="A25" s="18" t="inlineStr">
        <is>
          <t>Rdečkasta mušnica (Bisernica)</t>
        </is>
      </c>
      <c r="B25" s="7" t="inlineStr">
        <is>
          <t>Amanita rubescens</t>
        </is>
      </c>
      <c r="C25" s="19" t="inlineStr">
        <is>
          <t>Pogojno užitna</t>
        </is>
      </c>
      <c r="D25" s="19" t="inlineStr">
        <is>
          <t>Maj – Nov</t>
        </is>
      </c>
      <c r="E25" s="19" t="inlineStr">
        <is>
          <t>12 – 22 °C</t>
        </is>
      </c>
      <c r="F25" s="7" t="inlineStr">
        <is>
          <t>Bukev, smreka, bor, hrast</t>
        </is>
      </c>
      <c r="G25" s="7" t="inlineStr">
        <is>
          <t>Mikoriza; v tleh. Surova strupena, zahteva temeljito toplotno obdelavo</t>
        </is>
      </c>
      <c r="H25" s="7" t="inlineStr">
        <is>
          <t>Zelo prilagodljiva; raste na vseh tleh</t>
        </is>
      </c>
      <c r="I25" s="7" t="inlineStr">
        <is>
          <t>Panterjeva mušnica (Amanita pantherina) – zelo strupena! Bisernica vedno rdeči na zraku/poškodbah in ima narebren obroček.</t>
        </is>
      </c>
      <c r="J25" s="7" t="inlineStr">
        <is>
          <t>Brez vonja, okus surove rahlo praska</t>
        </is>
      </c>
      <c r="K25" s="7" t="inlineStr">
        <is>
          <t>Meso (zlasti ob roždenju črvov in dnu beta) intenzivno vinsko pordeči.</t>
        </is>
      </c>
      <c r="L25" s="7" t="inlineStr">
        <is>
          <t>Surova vsebuje hemolizine. Obvezno dobro prekuhati in vodo zliti stran.</t>
        </is>
      </c>
      <c r="M25" s="7" t="inlineStr">
        <is>
          <t>Zelo pogosta povsod od ravnin do gorskih predelov.</t>
        </is>
      </c>
      <c r="N25" s="7" t="inlineStr">
        <is>
          <t>Zelo pogosta po vseh hribovitih pobočjih in ravnicah.</t>
        </is>
      </c>
      <c r="O25" s="7" t="inlineStr">
        <is>
          <t>Izjemno prilagodljiva; raste od rečnih logov do kislega Smrekovca.</t>
        </is>
      </c>
      <c r="P25" s="20" t="inlineStr">
        <is>
          <t>20-30</t>
        </is>
      </c>
      <c r="Q25" s="20" t="inlineStr">
        <is>
          <t>12-20</t>
        </is>
      </c>
      <c r="R25" s="20" t="inlineStr">
        <is>
          <t>Srednji</t>
        </is>
      </c>
      <c r="S25" s="20" t="n"/>
    </row>
    <row r="26" ht="24" customHeight="1" s="28">
      <c r="A26" s="14" t="inlineStr">
        <is>
          <t>Rdeča mušnica</t>
        </is>
      </c>
      <c r="B26" s="15" t="inlineStr">
        <is>
          <t>Amanita muscaria</t>
        </is>
      </c>
      <c r="C26" s="16" t="inlineStr">
        <is>
          <t>Strupena</t>
        </is>
      </c>
      <c r="D26" s="16" t="inlineStr">
        <is>
          <t>Avg – Nov</t>
        </is>
      </c>
      <c r="E26" s="16" t="inlineStr">
        <is>
          <t>8 – 15 °C</t>
        </is>
      </c>
      <c r="F26" s="15" t="inlineStr">
        <is>
          <t>Breza, smreka, bor</t>
        </is>
      </c>
      <c r="G26" s="15" t="inlineStr">
        <is>
          <t>Mikoriza; v tleh v mešanih in iglastih gozdovih</t>
        </is>
      </c>
      <c r="H26" s="15" t="inlineStr">
        <is>
          <t>Kisla tla</t>
        </is>
      </c>
      <c r="I26" s="15" t="inlineStr">
        <is>
          <t>Knežja mušnica (Amanita caesarea) – užitna/zaščitena; karželj ima rumene lističe, bet in obroček.</t>
        </is>
      </c>
      <c r="J26" s="15" t="inlineStr">
        <is>
          <t>Neizrazit</t>
        </is>
      </c>
      <c r="K26" s="15" t="inlineStr">
        <is>
          <t>Meso je belo, neposredno pod rdečo kožico klobuka pa rumeno-oranžno.</t>
        </is>
      </c>
      <c r="L26" s="15" t="inlineStr">
        <is>
          <t>Strupena (povzroča panterinski/muskarinski sindrom).</t>
        </is>
      </c>
      <c r="M26" s="15" t="inlineStr">
        <is>
          <t>Raste vse do zgornje gozdne meje v hribovjih in na Pokljuki.</t>
        </is>
      </c>
      <c r="N26" s="15" t="inlineStr">
        <is>
          <t>Množično prisotna ob jurčkih v smrekovih in mešanih sestojih.</t>
        </is>
      </c>
      <c r="O26" s="15" t="inlineStr">
        <is>
          <t>Smrekovško pogorje (kisla tla ob brezah in smrekah).</t>
        </is>
      </c>
      <c r="P26" s="17" t="inlineStr">
        <is>
          <t>20-30</t>
        </is>
      </c>
      <c r="Q26" s="17" t="inlineStr">
        <is>
          <t>12-20</t>
        </is>
      </c>
      <c r="R26" s="17" t="inlineStr">
        <is>
          <t>Srednji</t>
        </is>
      </c>
      <c r="S26" s="17" t="n"/>
    </row>
    <row r="27" ht="24" customHeight="1" s="28">
      <c r="A27" s="18" t="inlineStr">
        <is>
          <t>Zelena mušnica</t>
        </is>
      </c>
      <c r="B27" s="7" t="inlineStr">
        <is>
          <t>Amanita phalloides</t>
        </is>
      </c>
      <c r="C27" s="19" t="inlineStr">
        <is>
          <t>Smrtno strupena</t>
        </is>
      </c>
      <c r="D27" s="19" t="inlineStr">
        <is>
          <t>Jul – Okt</t>
        </is>
      </c>
      <c r="E27" s="19" t="inlineStr">
        <is>
          <t>14 – 22 °C</t>
        </is>
      </c>
      <c r="F27" s="7" t="inlineStr">
        <is>
          <t>Hrast, bukev, gaber, leska</t>
        </is>
      </c>
      <c r="G27" s="7" t="inlineStr">
        <is>
          <t>Mikoriza; v tleh v toplih listnatih gozdovih. Že 30g je lahko smrtonosna doza</t>
        </is>
      </c>
      <c r="H27" s="7" t="inlineStr">
        <is>
          <t>Nevtralna do bazična tla</t>
        </is>
      </c>
      <c r="I27" s="7" t="inlineStr">
        <is>
          <t>Zelena golobica (Russula virescens) – užitna; golobica nima obročka na betu in nima lupine (vrečke) v dnu beta.</t>
        </is>
      </c>
      <c r="J27" s="7" t="inlineStr">
        <is>
          <t>Sladkast (po medu/vrtnicah), stare smrdijo</t>
        </is>
      </c>
      <c r="K27" s="7" t="inlineStr">
        <is>
          <t>Meso je trajno belo in ne spreminja barve.</t>
        </is>
      </c>
      <c r="L27" s="7" t="inlineStr">
        <is>
          <t>Smrtno strupena! (Tudi po kuhanju in zamrzovanju ostane smrtonosna).</t>
        </is>
      </c>
      <c r="M27" s="7" t="inlineStr">
        <is>
          <t>Toplejši listnati gozdovi po vsej državi, zlasti pod hrasti in kostanji.</t>
        </is>
      </c>
      <c r="N27" s="7" t="inlineStr">
        <is>
          <t>Prisotna v mešanih sestojih in logih, posebej pod hrasti in gabri; zahteva previdnost.</t>
        </is>
      </c>
      <c r="O27" s="7" t="inlineStr">
        <is>
          <t>Toplejša bazična tla pod hrasti in gabri v nižjem delu doline.</t>
        </is>
      </c>
      <c r="P27" s="20" t="inlineStr">
        <is>
          <t>20-30</t>
        </is>
      </c>
      <c r="Q27" s="20" t="inlineStr">
        <is>
          <t>12-20</t>
        </is>
      </c>
      <c r="R27" s="20" t="inlineStr">
        <is>
          <t>Srednji</t>
        </is>
      </c>
      <c r="S27" s="20" t="n"/>
    </row>
    <row r="28" ht="24" customHeight="1" s="28">
      <c r="A28" s="14" t="inlineStr">
        <is>
          <t>Panterjeva mušnica</t>
        </is>
      </c>
      <c r="B28" s="15" t="inlineStr">
        <is>
          <t>Amanita pantherina</t>
        </is>
      </c>
      <c r="C28" s="16" t="inlineStr">
        <is>
          <t>Zelo strupena</t>
        </is>
      </c>
      <c r="D28" s="16" t="inlineStr">
        <is>
          <t>Jul – Okt</t>
        </is>
      </c>
      <c r="E28" s="16" t="inlineStr">
        <is>
          <t>12 – 22 °C</t>
        </is>
      </c>
      <c r="F28" s="15" t="inlineStr">
        <is>
          <t>Bukev, hrast, rdeči bor</t>
        </is>
      </c>
      <c r="G28" s="15" t="inlineStr">
        <is>
          <t>Mikoriza; v tleh v svetlih gozdovih</t>
        </is>
      </c>
      <c r="H28" s="15" t="inlineStr">
        <is>
          <t>Nevtralna do bazična tla</t>
        </is>
      </c>
      <c r="I28" s="15" t="inlineStr">
        <is>
          <t>Rdečkasta mušnica (Amanita rubescens) – užitna; rdečkasta rdeči ob poškodbi, panterjeva pa ne spreminja barve mesa.</t>
        </is>
      </c>
      <c r="J28" s="15" t="inlineStr">
        <is>
          <t>Vonj po redkvici ali surovem krompirju</t>
        </is>
      </c>
      <c r="K28" s="15" t="inlineStr">
        <is>
          <t>Belo meso, ne spreminja barve (ključna razlika od bisernice).</t>
        </is>
      </c>
      <c r="L28" s="15" t="inlineStr">
        <is>
          <t>Zelo strupena (hud panterinski sindrom).</t>
        </is>
      </c>
      <c r="M28" s="15" t="inlineStr">
        <is>
          <t>Topla nižinska območja in obronki gozdov.</t>
        </is>
      </c>
      <c r="N28" s="15" t="inlineStr">
        <is>
          <t>Manj pogosta kot v panonskem svetu, a prisotna na toplejših jasah.</t>
        </is>
      </c>
      <c r="O28" s="15" t="inlineStr">
        <is>
          <t>Toplejše lege na karbonatni podlagi.</t>
        </is>
      </c>
      <c r="P28" s="17" t="inlineStr">
        <is>
          <t>20-30</t>
        </is>
      </c>
      <c r="Q28" s="17" t="inlineStr">
        <is>
          <t>12-20</t>
        </is>
      </c>
      <c r="R28" s="17" t="inlineStr">
        <is>
          <t>Srednji</t>
        </is>
      </c>
      <c r="S28" s="17" t="n"/>
    </row>
    <row r="29" ht="24" customHeight="1" s="28">
      <c r="A29" s="18" t="inlineStr">
        <is>
          <t>Koničasta mušnica</t>
        </is>
      </c>
      <c r="B29" s="7" t="inlineStr">
        <is>
          <t>Amanita virosa</t>
        </is>
      </c>
      <c r="C29" s="19" t="inlineStr">
        <is>
          <t>Smrtno strupena</t>
        </is>
      </c>
      <c r="D29" s="19" t="inlineStr">
        <is>
          <t>Jul – Okt</t>
        </is>
      </c>
      <c r="E29" s="19" t="inlineStr">
        <is>
          <t>10 – 16 °C</t>
        </is>
      </c>
      <c r="F29" s="7" t="inlineStr">
        <is>
          <t>Smreka, bor, bukev</t>
        </is>
      </c>
      <c r="G29" s="7" t="inlineStr">
        <is>
          <t>Mikoriza; v tleh v vlažnih gorskih iglastih gozdovih</t>
        </is>
      </c>
      <c r="H29" s="7" t="inlineStr">
        <is>
          <t>Kisla tla</t>
        </is>
      </c>
      <c r="I29" s="7" t="inlineStr">
        <is>
          <t>Poljski kukmaki (Agaricus campestris) – užitni; kukmaki nimajo lupine v dnu beta, njihovi lističi pa hitro pordečijo ali rjavijo.</t>
        </is>
      </c>
      <c r="J29" s="7" t="inlineStr">
        <is>
          <t>Mlada brez vonja, stara ima neprijeten zadušljiv vonj</t>
        </is>
      </c>
      <c r="K29" s="7" t="inlineStr">
        <is>
          <t>Snežno belo, brez sprememb.</t>
        </is>
      </c>
      <c r="L29" s="7" t="inlineStr">
        <is>
          <t>Smrtno strupena!</t>
        </is>
      </c>
      <c r="M29" s="7" t="inlineStr">
        <is>
          <t>Gorski iglasti gozdovi (Alpe, Pohorje), pogosto vlažna tla.</t>
        </is>
      </c>
      <c r="N29" s="7" t="inlineStr">
        <is>
          <t>Prisotna v vlažnih višjih gorskih gozdovih – izjemno nevarna dvojnica kukmakov.</t>
        </is>
      </c>
      <c r="O29" s="7" t="inlineStr">
        <is>
          <t>Kisla tla Smrekovškega pogorja (vlažni iglasti gozdovi).</t>
        </is>
      </c>
      <c r="P29" s="20" t="inlineStr">
        <is>
          <t>20-30</t>
        </is>
      </c>
      <c r="Q29" s="20" t="inlineStr">
        <is>
          <t>12-20</t>
        </is>
      </c>
      <c r="R29" s="20" t="inlineStr">
        <is>
          <t>Srednji</t>
        </is>
      </c>
      <c r="S29" s="20" t="n"/>
    </row>
    <row r="30" ht="24" customHeight="1" s="28">
      <c r="A30" s="14" t="inlineStr">
        <is>
          <t>Orjaški dežnik (Marela)</t>
        </is>
      </c>
      <c r="B30" s="15" t="inlineStr">
        <is>
          <t>Macrolepiota procera</t>
        </is>
      </c>
      <c r="C30" s="16" t="inlineStr">
        <is>
          <t>Užitna</t>
        </is>
      </c>
      <c r="D30" s="16" t="inlineStr">
        <is>
          <t>Jul – Nov</t>
        </is>
      </c>
      <c r="E30" s="16" t="inlineStr">
        <is>
          <t>12 – 22 °C</t>
        </is>
      </c>
      <c r="F30" s="15" t="inlineStr">
        <is>
          <t>Nobenega (Saprofit)</t>
        </is>
      </c>
      <c r="G30" s="15" t="inlineStr">
        <is>
          <t>Razkrajalka organskih snovi; robovi gozdov, travniki, gozdne jase</t>
        </is>
      </c>
      <c r="H30" s="15" t="inlineStr">
        <is>
          <t>Kisla do nevtralna, bogata tla</t>
        </is>
      </c>
      <c r="I30" s="15" t="inlineStr">
        <is>
          <t>Strupena rdečeča dežnica (Chlorophyllum brunneum) – strupena; meso ob poškodbi močno pordeči, bet nima marogastega vzorca.</t>
        </is>
      </c>
      <c r="J30" s="15" t="inlineStr">
        <is>
          <t>Značilen okus po lešnikih</t>
        </is>
      </c>
      <c r="K30" s="15" t="inlineStr">
        <is>
          <t>Meso klobuka ostane belo, bet je olesenel.</t>
        </is>
      </c>
      <c r="L30" s="15" t="inlineStr">
        <is>
          <t>Klobuki so odlični panirani in ocvrti ('pohane marele'). Betov se ne je.</t>
        </is>
      </c>
      <c r="M30" s="15" t="inlineStr">
        <is>
          <t>Travniki, obronki gozdov od Primorske do Gorenjske.</t>
        </is>
      </c>
      <c r="N30" s="15" t="inlineStr">
        <is>
          <t>Množično raste na obronkih gozdnih cest in po travnikih/senožetih vseh hribov okoli doline.</t>
        </is>
      </c>
      <c r="O30" s="15" t="inlineStr">
        <is>
          <t>Travniki, jase in robovi gozdov na bazičnih do nevtralnih tleh (Golte, Menina).</t>
        </is>
      </c>
      <c r="P30" s="17" t="inlineStr">
        <is>
          <t>20-30</t>
        </is>
      </c>
      <c r="Q30" s="17" t="inlineStr">
        <is>
          <t>10-20</t>
        </is>
      </c>
      <c r="R30" s="17" t="inlineStr">
        <is>
          <t>Srednji</t>
        </is>
      </c>
      <c r="S30" s="17" t="n"/>
    </row>
    <row r="31" ht="24" customHeight="1" s="28">
      <c r="A31" s="18" t="inlineStr">
        <is>
          <t>Poljski kukmak</t>
        </is>
      </c>
      <c r="B31" s="7" t="inlineStr">
        <is>
          <t>Agaricus campestris</t>
        </is>
      </c>
      <c r="C31" s="19" t="inlineStr">
        <is>
          <t>Užitna</t>
        </is>
      </c>
      <c r="D31" s="19" t="inlineStr">
        <is>
          <t>Maj – Okt</t>
        </is>
      </c>
      <c r="E31" s="19" t="inlineStr">
        <is>
          <t>12 – 20 °C</t>
        </is>
      </c>
      <c r="F31" s="7" t="inlineStr">
        <is>
          <t>Nobenega (Saprofit)</t>
        </is>
      </c>
      <c r="G31" s="7" t="inlineStr">
        <is>
          <t>Razkrajalka; travniki, pašniki, kjer se pase živina</t>
        </is>
      </c>
      <c r="H31" s="7" t="inlineStr">
        <is>
          <t>Nevtralna do bazična, dobro gnojena prst</t>
        </is>
      </c>
      <c r="I31" s="7" t="inlineStr">
        <is>
          <t>Karbolni kukmak (Agaricus xanthodermus) – strupen; v dnu beta ob prerezu močno porumeni in smrdi po črnilu.</t>
        </is>
      </c>
      <c r="J31" s="7" t="inlineStr">
        <is>
          <t>Prijeten, po gobah in rahlo po mandljih</t>
        </is>
      </c>
      <c r="K31" s="7" t="inlineStr">
        <is>
          <t>Lističi iz rožnate postanejo čokoladno rjavi, meso lahko rahlo pordeči.</t>
        </is>
      </c>
      <c r="L31" s="7" t="inlineStr">
        <is>
          <t>Sveža priprava, žar, odlična surova v solatah.</t>
        </is>
      </c>
      <c r="M31" s="7" t="inlineStr">
        <is>
          <t>Gnojeni pašniki in senožeti po vsej Sloveniji.</t>
        </is>
      </c>
      <c r="N31" s="7" t="inlineStr">
        <is>
          <t>Pogost na kmetijskih površinah, pašnikih in travnikih okoli naselij.</t>
        </is>
      </c>
      <c r="O31" s="7" t="inlineStr">
        <is>
          <t>Gnojeni pašniki in senožeti na apnenčasti/bazični osnovi.</t>
        </is>
      </c>
      <c r="P31" s="20" t="inlineStr">
        <is>
          <t>20-30</t>
        </is>
      </c>
      <c r="Q31" s="20" t="inlineStr">
        <is>
          <t>10-20</t>
        </is>
      </c>
      <c r="R31" s="20" t="inlineStr">
        <is>
          <t>Srednji</t>
        </is>
      </c>
      <c r="S31" s="20" t="n"/>
    </row>
    <row r="32" ht="24" customHeight="1" s="28">
      <c r="A32" s="14" t="inlineStr">
        <is>
          <t>Karbolni kukmak</t>
        </is>
      </c>
      <c r="B32" s="15" t="inlineStr">
        <is>
          <t>Agaricus xanthodermus</t>
        </is>
      </c>
      <c r="C32" s="16" t="inlineStr">
        <is>
          <t>Strupena</t>
        </is>
      </c>
      <c r="D32" s="16" t="inlineStr">
        <is>
          <t>Jun – Okt</t>
        </is>
      </c>
      <c r="E32" s="16" t="inlineStr">
        <is>
          <t>14 – 22 °C</t>
        </is>
      </c>
      <c r="F32" s="15" t="inlineStr">
        <is>
          <t>Nobenega (Saprofit)</t>
        </is>
      </c>
      <c r="G32" s="15" t="inlineStr">
        <is>
          <t>Razkrajalka; vrtovi, parki, ob poteh, gredice z zastirko</t>
        </is>
      </c>
      <c r="H32" s="15" t="inlineStr">
        <is>
          <t>Nevtralna do bazična, bogata tla</t>
        </is>
      </c>
      <c r="I32" s="15" t="inlineStr">
        <is>
          <t>Poljski kukmak (Agaricus campestris) – užiten; poljski kukmak prijetno diši po mandljih in v dnu beta ne rumeni.</t>
        </is>
      </c>
      <c r="J32" s="15" t="inlineStr">
        <is>
          <t>Neprijeten vonj po kemikalijah (karbol, črnilo)</t>
        </is>
      </c>
      <c r="K32" s="15" t="inlineStr">
        <is>
          <t>Ob drgnjenju dnišče beta takoj izrazito kromasto rumeno obarva.</t>
        </is>
      </c>
      <c r="L32" s="15" t="inlineStr">
        <is>
          <t>Strupena (povzroča prebavne motnje). Zgrejemo jo s kuhanjem (smrad se ojača).</t>
        </is>
      </c>
      <c r="M32" s="15" t="inlineStr">
        <is>
          <t>Vrtovi, zelenice in mestni parki.</t>
        </is>
      </c>
      <c r="N32" s="15" t="inlineStr">
        <is>
          <t>Občasno prisoten okoli parkov, hiš in na gnojenih tleh.</t>
        </is>
      </c>
      <c r="O32" s="15" t="inlineStr">
        <is>
          <t>Območja okoli naselij z bogatimi in bazičnimi tlemi.</t>
        </is>
      </c>
      <c r="P32" s="17" t="inlineStr">
        <is>
          <t>20-30</t>
        </is>
      </c>
      <c r="Q32" s="17" t="inlineStr">
        <is>
          <t>10-20</t>
        </is>
      </c>
      <c r="R32" s="17" t="inlineStr">
        <is>
          <t>Srednji</t>
        </is>
      </c>
      <c r="S32" s="17" t="n"/>
    </row>
    <row r="33" ht="24" customHeight="1" s="28">
      <c r="A33" s="18" t="inlineStr">
        <is>
          <t>Pšenična koprenka</t>
        </is>
      </c>
      <c r="B33" s="7" t="inlineStr">
        <is>
          <t>Cortinarius caperatus</t>
        </is>
      </c>
      <c r="C33" s="19" t="inlineStr">
        <is>
          <t>Užitna</t>
        </is>
      </c>
      <c r="D33" s="19" t="inlineStr">
        <is>
          <t>Jul – Okt</t>
        </is>
      </c>
      <c r="E33" s="19" t="inlineStr">
        <is>
          <t>10 – 16 °C</t>
        </is>
      </c>
      <c r="F33" s="7" t="inlineStr">
        <is>
          <t>Smreka, bor, borovnice</t>
        </is>
      </c>
      <c r="G33" s="7" t="inlineStr">
        <is>
          <t>Mikoriza; v tleh v vlažnih iglastih gozdovih, med mahom</t>
        </is>
      </c>
      <c r="H33" s="7" t="inlineStr">
        <is>
          <t>Kisla tla</t>
        </is>
      </c>
      <c r="I33" s="7" t="inlineStr">
        <is>
          <t>Sorodne strupene koprenke – pšenična se loči po narebranem svetlem klobuku z značilnim srebrnkastim prahom.</t>
        </is>
      </c>
      <c r="J33" s="7" t="inlineStr">
        <is>
          <t>Blag in prijeten, rahlo po začimbah</t>
        </is>
      </c>
      <c r="K33" s="7" t="inlineStr">
        <is>
          <t>Ne spreminja barve.</t>
        </is>
      </c>
      <c r="L33" s="7" t="inlineStr">
        <is>
          <t>Ena najboljših gob za mešane goveje in gobje juhe, praženje.</t>
        </is>
      </c>
      <c r="M33" s="7" t="inlineStr">
        <is>
          <t>Višje lege in mahnati iglasti gozdovi (Pokljuka, Smrekovec).</t>
        </is>
      </c>
      <c r="N33" s="7" t="inlineStr">
        <is>
          <t>Ena najbolj priljubljenih (in pogostih) gob na kislih tleh z borovnicami (npr. območje Smrekovca).</t>
        </is>
      </c>
      <c r="O33" s="7" t="inlineStr">
        <is>
          <t>Smrekovško pogorje (specifičen habitat v borovničevju in kislem mahu).</t>
        </is>
      </c>
      <c r="P33" s="20" t="inlineStr">
        <is>
          <t>20-30</t>
        </is>
      </c>
      <c r="Q33" s="20" t="inlineStr">
        <is>
          <t>10-20</t>
        </is>
      </c>
      <c r="R33" s="20" t="inlineStr">
        <is>
          <t>Srednji</t>
        </is>
      </c>
      <c r="S33" s="20" t="n"/>
    </row>
    <row r="34" ht="24" customHeight="1" s="28">
      <c r="A34" s="14" t="inlineStr">
        <is>
          <t>Sivorumena mraznica (Štorovka)</t>
        </is>
      </c>
      <c r="B34" s="15" t="inlineStr">
        <is>
          <t>Armillaria mellea</t>
        </is>
      </c>
      <c r="C34" s="16" t="inlineStr">
        <is>
          <t>Pogojno užitna</t>
        </is>
      </c>
      <c r="D34" s="16" t="inlineStr">
        <is>
          <t>Sep – Nov</t>
        </is>
      </c>
      <c r="E34" s="16" t="inlineStr">
        <is>
          <t>8 – 14 °C</t>
        </is>
      </c>
      <c r="F34" s="15" t="inlineStr">
        <is>
          <t>Hrast, bukev, sadno drevje (Parazit/Saprofit)</t>
        </is>
      </c>
      <c r="G34" s="15" t="inlineStr">
        <is>
          <t>Zajeda živa in razkraja odmrla debla; raste v gostih šopih na lesu</t>
        </is>
      </c>
      <c r="H34" s="15" t="inlineStr">
        <is>
          <t>Saprofit na lesu; nevtralna tla</t>
        </is>
      </c>
      <c r="I34" s="15" t="inlineStr">
        <is>
          <t>Navadna žveplenjača (Hypholoma fasciculare) – strupena; nima obročka na betu, klobuk je žvepleno rumen in zelo grenak.</t>
        </is>
      </c>
      <c r="J34" s="15" t="inlineStr">
        <is>
          <t>Rahlo trpek/kiselkast, okus mil</t>
        </is>
      </c>
      <c r="K34" s="15" t="inlineStr">
        <is>
          <t>Ne spreminja barve, trosni prah je bel.</t>
        </is>
      </c>
      <c r="L34" s="15" t="inlineStr">
        <is>
          <t>Obvezno kuhanje (odliti vodo) ali vlaganje mladih klobukov v kis.</t>
        </is>
      </c>
      <c r="M34" s="15" t="inlineStr">
        <is>
          <t>Suholesna goba, povsod prisotna po starih sadovnjakih in listnatih gozdovih.</t>
        </is>
      </c>
      <c r="N34" s="15" t="inlineStr">
        <is>
          <t>Jeseni jo najdemo na vseh starih štoriščih in zapuščenih sadovnjakih.</t>
        </is>
      </c>
      <c r="O34" s="15" t="inlineStr">
        <is>
          <t>Vsepovsod po starih sadovnjakih in logih na nevtralnih tleh.</t>
        </is>
      </c>
      <c r="P34" s="17" t="inlineStr">
        <is>
          <t>20-30</t>
        </is>
      </c>
      <c r="Q34" s="17" t="inlineStr">
        <is>
          <t>10-20</t>
        </is>
      </c>
      <c r="R34" s="17" t="inlineStr">
        <is>
          <t>Srednji</t>
        </is>
      </c>
      <c r="S34" s="17" t="n"/>
    </row>
    <row r="35" ht="24" customHeight="1" s="28">
      <c r="A35" s="18" t="inlineStr">
        <is>
          <t>Zimska panjevka</t>
        </is>
      </c>
      <c r="B35" s="7" t="inlineStr">
        <is>
          <t>Flammulina velutipes</t>
        </is>
      </c>
      <c r="C35" s="19" t="inlineStr">
        <is>
          <t>Užitna</t>
        </is>
      </c>
      <c r="D35" s="19" t="inlineStr">
        <is>
          <t>Nov – Mar</t>
        </is>
      </c>
      <c r="E35" s="19" t="inlineStr">
        <is>
          <t>-2 do 8 °C</t>
        </is>
      </c>
      <c r="F35" s="7" t="inlineStr">
        <is>
          <t>Vrba, jelša, bezeg, javor (Saprofit/Parazit)</t>
        </is>
      </c>
      <c r="G35" s="7" t="inlineStr">
        <is>
          <t>Razkraja odmrli les; raste pozimi v šopih neposredno na deblih</t>
        </is>
      </c>
      <c r="H35" s="7" t="inlineStr">
        <is>
          <t>Saprofit na lesu</t>
        </is>
      </c>
      <c r="I35" s="7" t="inlineStr">
        <is>
          <t>Strupena galerina (Galerina marginata) – smrtno strupena; galerina raste na iglavcih, ima obroček in nima žametnega beta.</t>
        </is>
      </c>
      <c r="J35" s="7" t="inlineStr">
        <is>
          <t>Prijeten</t>
        </is>
      </c>
      <c r="K35" s="7" t="inlineStr">
        <is>
          <t>Meso je tanko, rumenkasto, ne spreminja barve.</t>
        </is>
      </c>
      <c r="L35" s="7" t="inlineStr">
        <is>
          <t>Zelo priljubljena 'zimska' goba za juhe in azijske jedi (gojena je poznana kot Enoki).</t>
        </is>
      </c>
      <c r="M35" s="7" t="inlineStr">
        <is>
          <t>Loke ob rekah, vrbovja in jelševja povsod v nižinah.</t>
        </is>
      </c>
      <c r="N35" s="7" t="inlineStr">
        <is>
          <t>Pogosto zraste na starih vrbah neposredno ob reki Savinji in Dreti.</t>
        </is>
      </c>
      <c r="O35" s="7" t="inlineStr">
        <is>
          <t>Rečne terase in poplavni logi ob Savinji in Dreti (na vrbah, jelšah).</t>
        </is>
      </c>
      <c r="P35" s="20" t="inlineStr">
        <is>
          <t>20-30</t>
        </is>
      </c>
      <c r="Q35" s="20" t="inlineStr">
        <is>
          <t>10-20</t>
        </is>
      </c>
      <c r="R35" s="20" t="inlineStr">
        <is>
          <t>Srednji</t>
        </is>
      </c>
      <c r="S35" s="20" t="n"/>
    </row>
    <row r="36" ht="24" customHeight="1" s="28">
      <c r="A36" s="14" t="inlineStr">
        <is>
          <t>Bukov ostrigar</t>
        </is>
      </c>
      <c r="B36" s="15" t="inlineStr">
        <is>
          <t>Pleurotus ostreatus</t>
        </is>
      </c>
      <c r="C36" s="16" t="inlineStr">
        <is>
          <t>Užitna</t>
        </is>
      </c>
      <c r="D36" s="16" t="inlineStr">
        <is>
          <t>Okt – Jan</t>
        </is>
      </c>
      <c r="E36" s="16" t="inlineStr">
        <is>
          <t>4 – 12 °C</t>
        </is>
      </c>
      <c r="F36" s="15" t="inlineStr">
        <is>
          <t>Bukev, oreh, vrba (Saprofit/Parazit)</t>
        </is>
      </c>
      <c r="G36" s="15" t="inlineStr">
        <is>
          <t>Raste v velikih prekrivajočih grmičih na odmrlem ali oslabelem lesu listavcev</t>
        </is>
      </c>
      <c r="H36" s="15" t="inlineStr">
        <is>
          <t>Saprofit na lesu</t>
        </is>
      </c>
      <c r="I36" s="15" t="inlineStr">
        <is>
          <t>V času njegove rasti (pozno jeseni in pozimi) ni nevarnih podobnih gob na lesu.</t>
        </is>
      </c>
      <c r="J36" s="15" t="inlineStr">
        <is>
          <t>Rahlo mokast</t>
        </is>
      </c>
      <c r="K36" s="15" t="inlineStr">
        <is>
          <t>Meso je čvrsto belo in se ne barva.</t>
        </is>
      </c>
      <c r="L36" s="15" t="inlineStr">
        <is>
          <t>Odličen za žar in golaže. Zelo primeren za domače gojenje.</t>
        </is>
      </c>
      <c r="M36" s="15" t="inlineStr">
        <is>
          <t>Bukovi gozdovi in stara debla listavcev pozimi.</t>
        </is>
      </c>
      <c r="N36" s="15" t="inlineStr">
        <is>
          <t>Pogost pozno jeseni in pozimi na starih bukvah višje v pobočjih.</t>
        </is>
      </c>
      <c r="O36" s="15" t="inlineStr">
        <is>
          <t>Višja in hladnejša pobočja (predvsem na starih bukvah, neodvisno od tal).</t>
        </is>
      </c>
      <c r="P36" s="17" t="inlineStr">
        <is>
          <t>20-30</t>
        </is>
      </c>
      <c r="Q36" s="17" t="inlineStr">
        <is>
          <t>10-20</t>
        </is>
      </c>
      <c r="R36" s="17" t="inlineStr">
        <is>
          <t>Srednji</t>
        </is>
      </c>
      <c r="S36" s="17" t="n"/>
    </row>
    <row r="37" ht="24" customHeight="1" s="28">
      <c r="A37" s="18" t="inlineStr">
        <is>
          <t>Navadna žveplenjača</t>
        </is>
      </c>
      <c r="B37" s="7" t="inlineStr">
        <is>
          <t>Hypholoma fasciculare</t>
        </is>
      </c>
      <c r="C37" s="19" t="inlineStr">
        <is>
          <t>Strupena</t>
        </is>
      </c>
      <c r="D37" s="19" t="inlineStr">
        <is>
          <t>Maj – Dec</t>
        </is>
      </c>
      <c r="E37" s="19" t="inlineStr">
        <is>
          <t>8 – 20 °C</t>
        </is>
      </c>
      <c r="F37" s="7" t="inlineStr">
        <is>
          <t>Različni listavci in iglavci (Saprofit)</t>
        </is>
      </c>
      <c r="G37" s="7" t="inlineStr">
        <is>
          <t>Razkrajalka; raste v izjemno gostih in velikih šopih na štori in koreninah</t>
        </is>
      </c>
      <c r="H37" s="7" t="inlineStr">
        <is>
          <t>Saprofit na lesu</t>
        </is>
      </c>
      <c r="I37" s="7" t="inlineStr">
        <is>
          <t>Sivorumena mraznica (Armillaria mellea) – užitna po kuhanju; mraznica ima nežen obroček, luskice in bel trosni prah.</t>
        </is>
      </c>
      <c r="J37" s="7" t="inlineStr">
        <is>
          <t>Neprijeten zemeljski vonj, okus zelo grenak</t>
        </is>
      </c>
      <c r="K37" s="7" t="inlineStr">
        <is>
          <t>Lističi sčasoma postanejo olivno zeleni do sivo-črni.</t>
        </is>
      </c>
      <c r="L37" s="7" t="inlineStr">
        <is>
          <t>Strupena (hude prebavne težave, grenkoba opozori).</t>
        </is>
      </c>
      <c r="M37" s="7" t="inlineStr">
        <is>
          <t>Na vsakem starem štoru po vsej Sloveniji.</t>
        </is>
      </c>
      <c r="N37" s="7" t="inlineStr">
        <is>
          <t>Neizogibna na starih drevesnih štoriščih skozi vso sezono.</t>
        </is>
      </c>
      <c r="O37" s="7" t="inlineStr">
        <is>
          <t>Na vsakem odmrlem štuku, ne glede na geološko podlago.</t>
        </is>
      </c>
      <c r="P37" s="20" t="inlineStr">
        <is>
          <t>20-30</t>
        </is>
      </c>
      <c r="Q37" s="20" t="inlineStr">
        <is>
          <t>10-20</t>
        </is>
      </c>
      <c r="R37" s="20" t="inlineStr">
        <is>
          <t>Srednji</t>
        </is>
      </c>
      <c r="S37" s="20" t="n"/>
    </row>
    <row r="38" ht="24" customHeight="1" s="28">
      <c r="A38" s="14" t="inlineStr">
        <is>
          <t>Vijoličasta bledivka</t>
        </is>
      </c>
      <c r="B38" s="15" t="inlineStr">
        <is>
          <t>Laccaria amethystina</t>
        </is>
      </c>
      <c r="C38" s="16" t="inlineStr">
        <is>
          <t>Užitna</t>
        </is>
      </c>
      <c r="D38" s="16" t="inlineStr">
        <is>
          <t>Jul – Nov</t>
        </is>
      </c>
      <c r="E38" s="16" t="inlineStr">
        <is>
          <t>10 – 18 °C</t>
        </is>
      </c>
      <c r="F38" s="15" t="inlineStr">
        <is>
          <t>Bukev, smreka</t>
        </is>
      </c>
      <c r="G38" s="15" t="inlineStr">
        <is>
          <t>Mikoriza; raste na vlažnih tleh, med odpadlim listjem ali mahom</t>
        </is>
      </c>
      <c r="H38" s="15" t="inlineStr">
        <is>
          <t>Kisla do nevtralna tla</t>
        </is>
      </c>
      <c r="I38" s="15" t="inlineStr">
        <is>
          <t>Vijoličasta čeladica (Mycena pura) – strupena; loči se po izrazitem vonju po redkvici in tanjših, gostejših lističih.</t>
        </is>
      </c>
      <c r="J38" s="15" t="inlineStr">
        <is>
          <t>Brez posebnega vonja, blag okus</t>
        </is>
      </c>
      <c r="K38" s="15" t="inlineStr">
        <is>
          <t>Bledo vijolično meso zbledi ob izsušitvi (postane belkasto/rjavo).</t>
        </is>
      </c>
      <c r="L38" s="15" t="inlineStr">
        <is>
          <t>Za mešane jedi (kot zanimiv barvni dodatek) in okrasitev.</t>
        </is>
      </c>
      <c r="M38" s="15" t="inlineStr">
        <is>
          <t>Vlažne globeli v bukovih gozdovih.</t>
        </is>
      </c>
      <c r="N38" s="15" t="inlineStr">
        <is>
          <t>Pogosta popestritev tal v globelih bukovih gozdovih.</t>
        </is>
      </c>
      <c r="O38" s="15" t="inlineStr">
        <is>
          <t>Vlažne globeli na vseh tipih tal (izogiba se le izrazito suhemu apnencu).</t>
        </is>
      </c>
      <c r="P38" s="17" t="inlineStr">
        <is>
          <t>20-30</t>
        </is>
      </c>
      <c r="Q38" s="17" t="inlineStr">
        <is>
          <t>10-20</t>
        </is>
      </c>
      <c r="R38" s="17" t="inlineStr">
        <is>
          <t>Srednji</t>
        </is>
      </c>
      <c r="S38" s="17" t="n"/>
    </row>
    <row r="39" ht="24" customHeight="1" s="28">
      <c r="A39" s="18" t="inlineStr">
        <is>
          <t>Užitni smrček (Mavrah)</t>
        </is>
      </c>
      <c r="B39" s="7" t="inlineStr">
        <is>
          <t>Morchella esculenta</t>
        </is>
      </c>
      <c r="C39" s="19" t="inlineStr">
        <is>
          <t>Užitna</t>
        </is>
      </c>
      <c r="D39" s="19" t="inlineStr">
        <is>
          <t>Apr – Maj</t>
        </is>
      </c>
      <c r="E39" s="19" t="inlineStr">
        <is>
          <t>8 – 15 °C</t>
        </is>
      </c>
      <c r="F39" s="7" t="inlineStr">
        <is>
          <t>Jesen, brest, divja jablana (Saprofit/Mikoriza)</t>
        </is>
      </c>
      <c r="G39" s="7" t="inlineStr">
        <is>
          <t>Raste spomladi na poplavnih območjih, logih ob rekah ter pogoriščih</t>
        </is>
      </c>
      <c r="H39" s="7" t="inlineStr">
        <is>
          <t>Nevtralna do bazična (ilovnata in vlažna) tla</t>
        </is>
      </c>
      <c r="I39" s="7" t="inlineStr">
        <is>
          <t>Pomladanski hrček (Gyromitra esculenta) – zelo strupen; hrček ima možgansko naguban klobuk in ni votel.</t>
        </is>
      </c>
      <c r="J39" s="7" t="inlineStr">
        <is>
          <t>Blag in prijeten vonj po glivah</t>
        </is>
      </c>
      <c r="K39" s="7" t="inlineStr">
        <is>
          <t>Ne spreminja barve. Znotraj votla.</t>
        </is>
      </c>
      <c r="L39" s="7" t="inlineStr">
        <is>
          <t>Odlična v smetanovih omakah (obvezno dobro prekuhana ali posušena).</t>
        </is>
      </c>
      <c r="M39" s="7" t="inlineStr">
        <is>
          <t>Spomladi v logih ob rekah (npr. ob Savinji, Muri, Krki).</t>
        </is>
      </c>
      <c r="N39" s="7" t="inlineStr">
        <is>
          <t>Spomladi zelo iskan v logih, ob obrežjih rek in potokov.</t>
        </is>
      </c>
      <c r="O39" s="7" t="inlineStr">
        <is>
          <t>Aluvialna (rečna) prodnata in peščena tla ob Savinji, Dreti (pod jeseni).</t>
        </is>
      </c>
      <c r="P39" s="20" t="inlineStr">
        <is>
          <t>20-30</t>
        </is>
      </c>
      <c r="Q39" s="20" t="inlineStr">
        <is>
          <t>10-20</t>
        </is>
      </c>
      <c r="R39" s="20" t="inlineStr">
        <is>
          <t>Srednji</t>
        </is>
      </c>
      <c r="S39" s="20" t="n"/>
    </row>
    <row r="40" ht="24" customHeight="1" s="28">
      <c r="A40" s="14" t="inlineStr">
        <is>
          <t>Koničasti smrček</t>
        </is>
      </c>
      <c r="B40" s="15" t="inlineStr">
        <is>
          <t>Morchella elata</t>
        </is>
      </c>
      <c r="C40" s="16" t="inlineStr">
        <is>
          <t>Užitna</t>
        </is>
      </c>
      <c r="D40" s="16" t="inlineStr">
        <is>
          <t>Mar – Maj</t>
        </is>
      </c>
      <c r="E40" s="16" t="inlineStr">
        <is>
          <t>6 – 13 °C</t>
        </is>
      </c>
      <c r="F40" s="15" t="inlineStr">
        <is>
          <t>Iglavci (bor, smreka) (Saprofit)</t>
        </is>
      </c>
      <c r="G40" s="15" t="inlineStr">
        <is>
          <t>Raste na lesnih ostankih, sekačih, gozdnih robovih, lubju</t>
        </is>
      </c>
      <c r="H40" s="15" t="inlineStr">
        <is>
          <t>Kisla do nevtralna tla</t>
        </is>
      </c>
      <c r="I40" s="15" t="inlineStr">
        <is>
          <t>Pomladanski hrček (Gyromitra esculenta) – zelo strupen; hrček ima klobuk podoben možganom in nima pravilnih navpičnih jamic.</t>
        </is>
      </c>
      <c r="J40" s="15" t="inlineStr">
        <is>
          <t>Prijeten</t>
        </is>
      </c>
      <c r="K40" s="15" t="inlineStr">
        <is>
          <t>Ne spreminja barve. Votla.</t>
        </is>
      </c>
      <c r="L40" s="15" t="inlineStr">
        <is>
          <t>Kuhanje in sušenje (zlasti priljubljena v restavracijah visoke kulinarike).</t>
        </is>
      </c>
      <c r="M40" s="15" t="inlineStr">
        <is>
          <t>Spomladi na robovih gozdnih cest in sekačih (predalpski svet).</t>
        </is>
      </c>
      <c r="N40" s="15" t="inlineStr">
        <is>
          <t>Spomladi pogosto zraste ob poteh ali vlakah, kjer so ležali sekanci.</t>
        </is>
      </c>
      <c r="O40" s="15" t="inlineStr">
        <is>
          <t>Višje lege z ostanki lesa (bolj pogosta na kislih tleh z iglavci).</t>
        </is>
      </c>
      <c r="P40" s="17" t="inlineStr">
        <is>
          <t>20-30</t>
        </is>
      </c>
      <c r="Q40" s="17" t="inlineStr">
        <is>
          <t>10-20</t>
        </is>
      </c>
      <c r="R40" s="17" t="inlineStr">
        <is>
          <t>Srednji</t>
        </is>
      </c>
      <c r="S40" s="17" t="n"/>
    </row>
    <row r="41" ht="24" customHeight="1" s="28">
      <c r="A41" s="18" t="inlineStr">
        <is>
          <t>Pomladanski hrček</t>
        </is>
      </c>
      <c r="B41" s="7" t="inlineStr">
        <is>
          <t>Gyromitra esculenta</t>
        </is>
      </c>
      <c r="C41" s="19" t="inlineStr">
        <is>
          <t>Zelo strupena</t>
        </is>
      </c>
      <c r="D41" s="19" t="inlineStr">
        <is>
          <t>Mar – Maj</t>
        </is>
      </c>
      <c r="E41" s="19" t="inlineStr">
        <is>
          <t>5 – 12 °C</t>
        </is>
      </c>
      <c r="F41" s="7" t="inlineStr">
        <is>
          <t>Nobenega (Saprofit)</t>
        </is>
      </c>
      <c r="G41" s="7" t="inlineStr">
        <is>
          <t>Razkrajalka; raste na peščenih tleh v bližini borovih korenin in lesnih ostankov</t>
        </is>
      </c>
      <c r="H41" s="7" t="inlineStr">
        <is>
          <t>Kisla, peščena tla</t>
        </is>
      </c>
      <c r="I41" s="7" t="inlineStr">
        <is>
          <t>Užitni smrček (Morchella esculenta) – užiten; smrček ima satast klobuk (kot panj) in je v celoti votel.</t>
        </is>
      </c>
      <c r="J41" s="7" t="inlineStr">
        <is>
          <t>Prijeten (kar zavaja nabiralce)</t>
        </is>
      </c>
      <c r="K41" s="7" t="inlineStr">
        <is>
          <t>Ne spreminja barve.</t>
        </is>
      </c>
      <c r="L41" s="7" t="inlineStr">
        <is>
          <t>Zelo strupena (sindrom giromitrin). Čeprav jo nekateri še vedno prekuhavajo, je izjemno tvegana.</t>
        </is>
      </c>
      <c r="M41" s="7" t="inlineStr">
        <is>
          <t>Peščeni bori ob rekah in na ravnicah.</t>
        </is>
      </c>
      <c r="N41" s="7" t="inlineStr">
        <is>
          <t>Precej redka, saj ima raje izrazito peščena tla z bori.</t>
        </is>
      </c>
      <c r="O41" s="7" t="inlineStr">
        <is>
          <t>Peščene naplavine ali borovi sestoji z nevtralnim pH.</t>
        </is>
      </c>
      <c r="P41" s="20" t="inlineStr">
        <is>
          <t>20-30</t>
        </is>
      </c>
      <c r="Q41" s="20" t="inlineStr">
        <is>
          <t>10-20</t>
        </is>
      </c>
      <c r="R41" s="20" t="inlineStr">
        <is>
          <t>Srednji</t>
        </is>
      </c>
      <c r="S41" s="20" t="n"/>
    </row>
    <row r="42" ht="24" customHeight="1" s="28">
      <c r="A42" s="14" t="inlineStr">
        <is>
          <t>Jesenski hrček</t>
        </is>
      </c>
      <c r="B42" s="15" t="inlineStr">
        <is>
          <t>Gyromitra infula</t>
        </is>
      </c>
      <c r="C42" s="16" t="inlineStr">
        <is>
          <t>Strupena</t>
        </is>
      </c>
      <c r="D42" s="16" t="inlineStr">
        <is>
          <t>Sep – Nov</t>
        </is>
      </c>
      <c r="E42" s="16" t="inlineStr">
        <is>
          <t>8 – 14 °C</t>
        </is>
      </c>
      <c r="F42" s="15" t="inlineStr">
        <is>
          <t>Iglavci (Saprofit)</t>
        </is>
      </c>
      <c r="G42" s="15" t="inlineStr">
        <is>
          <t>Razkraja les; raste na gnijočih deblih iglavcev ali na tleh z lesnimi sekači</t>
        </is>
      </c>
      <c r="H42" s="15" t="inlineStr">
        <is>
          <t>Kisle, lesne talne podlage</t>
        </is>
      </c>
      <c r="I42" s="15" t="inlineStr">
        <is>
          <t>Rogati hrček (Gyromitra gigas) ali drugi jesenski hrčki, ki so vsi sumljivi in potencialno nevarni.</t>
        </is>
      </c>
      <c r="J42" s="15" t="inlineStr">
        <is>
          <t>Neizrazit</t>
        </is>
      </c>
      <c r="K42" s="15" t="inlineStr">
        <is>
          <t>Ne spreminja.</t>
        </is>
      </c>
      <c r="L42" s="15" t="inlineStr">
        <is>
          <t>Strupena (podobni toksini kot pri hrčku).</t>
        </is>
      </c>
      <c r="M42" s="15" t="inlineStr">
        <is>
          <t>Gorski iglasti gozdovi.</t>
        </is>
      </c>
      <c r="N42" s="15" t="inlineStr">
        <is>
          <t>Pogosta jeseni v višjih iglastih gozdovih.</t>
        </is>
      </c>
      <c r="O42" s="15" t="inlineStr">
        <is>
          <t>Kisle gozdne lege in lesni ostanki višje v hribih.</t>
        </is>
      </c>
      <c r="P42" s="17" t="inlineStr">
        <is>
          <t>20-30</t>
        </is>
      </c>
      <c r="Q42" s="17" t="inlineStr">
        <is>
          <t>10-20</t>
        </is>
      </c>
      <c r="R42" s="17" t="inlineStr">
        <is>
          <t>Srednji</t>
        </is>
      </c>
      <c r="S42" s="17" t="n"/>
    </row>
    <row r="43" ht="24" customHeight="1" s="28">
      <c r="A43" s="18" t="inlineStr">
        <is>
          <t>Navadna podvihanka</t>
        </is>
      </c>
      <c r="B43" s="7" t="inlineStr">
        <is>
          <t>Paxillus involutus</t>
        </is>
      </c>
      <c r="C43" s="19" t="inlineStr">
        <is>
          <t>Smrtno strupena</t>
        </is>
      </c>
      <c r="D43" s="19" t="inlineStr">
        <is>
          <t>Jun – Nov</t>
        </is>
      </c>
      <c r="E43" s="19" t="inlineStr">
        <is>
          <t>10 – 18 °C</t>
        </is>
      </c>
      <c r="F43" s="7" t="inlineStr">
        <is>
          <t>Breza, smreka, jelša, bor</t>
        </is>
      </c>
      <c r="G43" s="7" t="inlineStr">
        <is>
          <t>Mikoriza; v tleh v vlažnih mešanih gozdovih, parkih. Kumulativni strup</t>
        </is>
      </c>
      <c r="H43" s="7" t="inlineStr">
        <is>
          <t>Kisla tla</t>
        </is>
      </c>
      <c r="I43" s="7" t="inlineStr">
        <is>
          <t>Velike rjave livke – podvihanka se prepozna po močno spodvihanem žametnem robu klobuka in rjavenju ob dotiku.</t>
        </is>
      </c>
      <c r="J43" s="7" t="inlineStr">
        <is>
          <t>Izrazito kiselkast okus, vonj po sadju</t>
        </is>
      </c>
      <c r="K43" s="7" t="inlineStr">
        <is>
          <t>Meso in lističi na pritisk hitro umazano rjavo obarvajo.</t>
        </is>
      </c>
      <c r="L43" s="7" t="inlineStr">
        <is>
          <t>Smrtno strupena (kumulativni alergijski sindrom na rdeče krvničke).</t>
        </is>
      </c>
      <c r="M43" s="7" t="inlineStr">
        <is>
          <t>Zelo pogosta povsod, pogosto pod brezami in v parkih.</t>
        </is>
      </c>
      <c r="N43" s="7" t="inlineStr">
        <is>
          <t>Množično prisotna povsod, zlasti pod brezami in ob poteh.</t>
        </is>
      </c>
      <c r="O43" s="7" t="inlineStr">
        <is>
          <t>Izrazito kisloljubna, a se prilagodi tudi prehodnim območjem z brezami.</t>
        </is>
      </c>
      <c r="P43" s="20" t="inlineStr">
        <is>
          <t>20-30</t>
        </is>
      </c>
      <c r="Q43" s="20" t="inlineStr">
        <is>
          <t>10-20</t>
        </is>
      </c>
      <c r="R43" s="20" t="inlineStr">
        <is>
          <t>Srednji</t>
        </is>
      </c>
      <c r="S43" s="20" t="n"/>
    </row>
    <row r="44" ht="24" customHeight="1" s="28">
      <c r="A44" s="14" t="inlineStr">
        <is>
          <t>Orjaška plešivka</t>
        </is>
      </c>
      <c r="B44" s="15" t="inlineStr">
        <is>
          <t>Calvatia gigantea</t>
        </is>
      </c>
      <c r="C44" s="16" t="inlineStr">
        <is>
          <t>Užitna</t>
        </is>
      </c>
      <c r="D44" s="16" t="inlineStr">
        <is>
          <t>Jul – Okt</t>
        </is>
      </c>
      <c r="E44" s="16" t="inlineStr">
        <is>
          <t>14 – 22 °C</t>
        </is>
      </c>
      <c r="F44" s="15" t="inlineStr">
        <is>
          <t>Nobenega (Saprofit)</t>
        </is>
      </c>
      <c r="G44" s="15" t="inlineStr">
        <is>
          <t>Razkrajalka; raste na bogatih travnikih, pašnikih, sadovnjakih</t>
        </is>
      </c>
      <c r="H44" s="15" t="inlineStr">
        <is>
          <t>Nevtralna do bazična, z dušikom izjemno bogata tla</t>
        </is>
      </c>
      <c r="I44" s="15" t="inlineStr">
        <is>
          <t>Zaradi izjemne velikosti (lahko kot velika bela žoga) in kroglaste oblike je praktično nezamenljiva.</t>
        </is>
      </c>
      <c r="J44" s="15" t="inlineStr">
        <is>
          <t>Rahel vonj po seču/kemiji ko raste, okus blag</t>
        </is>
      </c>
      <c r="K44" s="15" t="inlineStr">
        <is>
          <t>Ko zori, se belo meso spremeni v rumeno in kasneje v rjav prah.</t>
        </is>
      </c>
      <c r="L44" s="15" t="inlineStr">
        <is>
          <t>Reže se na 'zrezke' in peče/cvre. Užitna le popolnoma čisto bela v notranjosti.</t>
        </is>
      </c>
      <c r="M44" s="15" t="inlineStr">
        <is>
          <t>Senožeti in dobro gnojeni travniki po nižinah in gričevjih.</t>
        </is>
      </c>
      <c r="N44" s="15" t="inlineStr">
        <is>
          <t>Redko, a se najde na dobro gnojenih ravnicah ali senožetih ob kmetijah.</t>
        </is>
      </c>
      <c r="O44" s="15" t="inlineStr">
        <is>
          <t>Pašniki z apnenčasto podlago in visoko vsebnostjo dušika.</t>
        </is>
      </c>
      <c r="P44" s="17" t="inlineStr">
        <is>
          <t>20-30</t>
        </is>
      </c>
      <c r="Q44" s="17" t="inlineStr">
        <is>
          <t>10-20</t>
        </is>
      </c>
      <c r="R44" s="17" t="inlineStr">
        <is>
          <t>Srednji</t>
        </is>
      </c>
      <c r="S44" s="17" t="n"/>
    </row>
    <row r="45" ht="24" customHeight="1" s="28">
      <c r="A45" s="18" t="inlineStr">
        <is>
          <t>Velika tintnica</t>
        </is>
      </c>
      <c r="B45" s="7" t="inlineStr">
        <is>
          <t>Coprinus comatus</t>
        </is>
      </c>
      <c r="C45" s="19" t="inlineStr">
        <is>
          <t>Užitna</t>
        </is>
      </c>
      <c r="D45" s="19" t="inlineStr">
        <is>
          <t>Maj – Nov</t>
        </is>
      </c>
      <c r="E45" s="19" t="inlineStr">
        <is>
          <t>12 – 20 °C</t>
        </is>
      </c>
      <c r="F45" s="7" t="inlineStr">
        <is>
          <t>Nobenega (Saprofit)</t>
        </is>
      </c>
      <c r="G45" s="7" t="inlineStr">
        <is>
          <t>Razkrajalka; raste na bogatih, gnojenih travnikih, ob poteh, vrtovih</t>
        </is>
      </c>
      <c r="H45" s="7" t="inlineStr">
        <is>
          <t>Nevtralna do bazična prst</t>
        </is>
      </c>
      <c r="I45" s="7" t="inlineStr">
        <is>
          <t>Gola tintnica (Coprinopsis atramentaria) – pogojno strupena z alkoholom; nima luskastega in visokega valjastega klobuka.</t>
        </is>
      </c>
      <c r="J45" s="7" t="inlineStr">
        <is>
          <t>Nežen vonj in okus</t>
        </is>
      </c>
      <c r="K45" s="7" t="inlineStr">
        <is>
          <t>Iz bele barve lističi hitro počrnijo in se utekočinijo (tinta).</t>
        </is>
      </c>
      <c r="L45" s="7" t="inlineStr">
        <is>
          <t>Pripraviti jo je treba v nekaj urah po nabiranju! Ne sme se segrevati v mikrovalovki.</t>
        </is>
      </c>
      <c r="M45" s="7" t="inlineStr">
        <is>
          <t>Obronki gozdov, travniki, ob cestah.</t>
        </is>
      </c>
      <c r="N45" s="7" t="inlineStr">
        <is>
          <t>Zelo pogosta ob makadamskih cestah in pašnikih v dolini.</t>
        </is>
      </c>
      <c r="O45" s="7" t="inlineStr">
        <is>
          <t>Senožeti in gnojena bazična tla.</t>
        </is>
      </c>
      <c r="P45" s="20" t="inlineStr">
        <is>
          <t>20-30</t>
        </is>
      </c>
      <c r="Q45" s="20" t="inlineStr">
        <is>
          <t>10-20</t>
        </is>
      </c>
      <c r="R45" s="20" t="inlineStr">
        <is>
          <t>Srednji</t>
        </is>
      </c>
      <c r="S45" s="20" t="n"/>
    </row>
    <row r="46" ht="24" customHeight="1" s="28">
      <c r="A46" s="14" t="inlineStr">
        <is>
          <t>Bezgova uhljevka</t>
        </is>
      </c>
      <c r="B46" s="15" t="inlineStr">
        <is>
          <t>Auricularia auricula-judae</t>
        </is>
      </c>
      <c r="C46" s="16" t="inlineStr">
        <is>
          <t>Užitna</t>
        </is>
      </c>
      <c r="D46" s="16" t="inlineStr">
        <is>
          <t>Celotno leto</t>
        </is>
      </c>
      <c r="E46" s="16" t="inlineStr">
        <is>
          <t>5 – 15 °C</t>
        </is>
      </c>
      <c r="F46" s="15" t="inlineStr">
        <is>
          <t>Črni bezeg (Sambucus nigra) (Saprofit)</t>
        </is>
      </c>
      <c r="G46" s="15" t="inlineStr">
        <is>
          <t>Razkraja odmrle bezgove veje; želatinasta struktura, ki med kuhanjem hrusta</t>
        </is>
      </c>
      <c r="H46" s="15" t="inlineStr">
        <is>
          <t>Saprofit na lesu bezga</t>
        </is>
      </c>
      <c r="I46" s="15" t="inlineStr">
        <is>
          <t>Vijoličasta zvedavka (Auricularia mesenterica) – neužitna; nima oblike ušesa in je bolj usnjata.</t>
        </is>
      </c>
      <c r="J46" s="15" t="inlineStr">
        <is>
          <t>Nevtralen, blag okus</t>
        </is>
      </c>
      <c r="K46" s="15" t="inlineStr">
        <is>
          <t>Svetlo do temno rjava; med kuhanjem postane hrustljava.</t>
        </is>
      </c>
      <c r="L46" s="15" t="inlineStr">
        <is>
          <t>Sušenje in nato uporaba v tradicionalnih azijskih juhah.</t>
        </is>
      </c>
      <c r="M46" s="15" t="inlineStr">
        <is>
          <t>Vlažne doline in soteske ob rekah (predvsem na odmrlem bezgu).</t>
        </is>
      </c>
      <c r="N46" s="15" t="inlineStr">
        <is>
          <t>Obilno uspeva na grmih črnega bezga v logih ob rekah in potokih (Savinja, Rečica).</t>
        </is>
      </c>
      <c r="O46" s="15" t="inlineStr">
        <is>
          <t>Rečni logi in soteske z visoko zračno vlago ob Savinji in pritokih.</t>
        </is>
      </c>
      <c r="P46" s="17" t="inlineStr">
        <is>
          <t>20-30</t>
        </is>
      </c>
      <c r="Q46" s="17" t="inlineStr">
        <is>
          <t>10-20</t>
        </is>
      </c>
      <c r="R46" s="17" t="inlineStr">
        <is>
          <t>Srednji</t>
        </is>
      </c>
      <c r="S46" s="17" t="n"/>
    </row>
    <row r="47" ht="24" customHeight="1" s="28">
      <c r="A47" s="18" t="inlineStr">
        <is>
          <t>Betičasta prašnica</t>
        </is>
      </c>
      <c r="B47" s="7" t="inlineStr">
        <is>
          <t>Lycoperdon perlatum</t>
        </is>
      </c>
      <c r="C47" s="19" t="inlineStr">
        <is>
          <t>Užitna</t>
        </is>
      </c>
      <c r="D47" s="19" t="inlineStr">
        <is>
          <t>Jun – Nov</t>
        </is>
      </c>
      <c r="E47" s="19" t="inlineStr">
        <is>
          <t>12 – 20 °C</t>
        </is>
      </c>
      <c r="F47" s="7" t="inlineStr">
        <is>
          <t>Nobenega (Saprofit)</t>
        </is>
      </c>
      <c r="G47" s="7" t="inlineStr">
        <is>
          <t>Razkrajalka organskih ostankov; raste v skupinah na gozdnih tleh ali lesu</t>
        </is>
      </c>
      <c r="H47" s="7" t="inlineStr">
        <is>
          <t>Kisla do nevtralna tla</t>
        </is>
      </c>
      <c r="I47" s="7" t="inlineStr">
        <is>
          <t>Navadna smrdljivka (Scleroderma citrinum) – strupena; zelo trda, lupina je debela, usnjata, meso znotraj hitro počrni.</t>
        </is>
      </c>
      <c r="J47" s="7" t="inlineStr">
        <is>
          <t>Močan vonj po gobah</t>
        </is>
      </c>
      <c r="K47" s="7" t="inlineStr">
        <is>
          <t>V mladosti snežno bela. Nato porumeni in postane puhast rjav prah.</t>
        </is>
      </c>
      <c r="L47" s="7" t="inlineStr">
        <is>
          <t>Mešane jedi (odlično zgosti jed). Užitna le čisto bela notranjost.</t>
        </is>
      </c>
      <c r="M47" s="7" t="inlineStr">
        <is>
          <t>Vse gozdne površine od ravnin do Alp.</t>
        </is>
      </c>
      <c r="N47" s="7" t="inlineStr">
        <is>
          <t>Prisotna v vsakem gozdu ob vsakem času sezone.</t>
        </is>
      </c>
      <c r="O47" s="7" t="inlineStr">
        <is>
          <t>Popolnoma prilagodljiva na vse geološke podlage v dolini.</t>
        </is>
      </c>
      <c r="P47" s="20" t="inlineStr">
        <is>
          <t>20-30</t>
        </is>
      </c>
      <c r="Q47" s="20" t="inlineStr">
        <is>
          <t>10-20</t>
        </is>
      </c>
      <c r="R47" s="20" t="inlineStr">
        <is>
          <t>Srednji</t>
        </is>
      </c>
      <c r="S47" s="20" t="n"/>
    </row>
    <row r="48" ht="24" customHeight="1" s="28">
      <c r="A48" s="14" t="inlineStr">
        <is>
          <t>Veliki slinar</t>
        </is>
      </c>
      <c r="B48" s="15" t="inlineStr">
        <is>
          <t>Gomphidius glutinosus</t>
        </is>
      </c>
      <c r="C48" s="16" t="inlineStr">
        <is>
          <t>Užitna</t>
        </is>
      </c>
      <c r="D48" s="16" t="inlineStr">
        <is>
          <t>Avg – Nov</t>
        </is>
      </c>
      <c r="E48" s="16" t="inlineStr">
        <is>
          <t>8 – 15 °C</t>
        </is>
      </c>
      <c r="F48" s="15" t="inlineStr">
        <is>
          <t>Izključno smreka (Picea)</t>
        </is>
      </c>
      <c r="G48" s="15" t="inlineStr">
        <is>
          <t>Mikoriza; raste v vlažnem mahu pod smrekami. Izrazito sluzasta goba</t>
        </is>
      </c>
      <c r="H48" s="15" t="inlineStr">
        <is>
          <t>Kisla tla</t>
        </is>
      </c>
      <c r="I48" s="15" t="inlineStr">
        <is>
          <t>Bakerasti polžar (Chroogomphus rutilus) – užiten; nima prozorne debele sluzi in je ves rdečkasto-bakerne barve.</t>
        </is>
      </c>
      <c r="J48" s="15" t="inlineStr">
        <is>
          <t>Kiselkast, brez posebnega okusa</t>
        </is>
      </c>
      <c r="K48" s="15" t="inlineStr">
        <is>
          <t>Meso ob drgnjenju mestoma rahlo črni. Dno beta je vedno živo rumeno.</t>
        </is>
      </c>
      <c r="L48" s="15" t="inlineStr">
        <is>
          <t>Odstraniti je treba debelo sluz z lupljenjem klobuka pred pripravo.</t>
        </is>
      </c>
      <c r="M48" s="15" t="inlineStr">
        <is>
          <t>Izrazito alpski in predalpski smrekovi gozdovi z mahom.</t>
        </is>
      </c>
      <c r="N48" s="15" t="inlineStr">
        <is>
          <t>Prisoten povsod v mahu pod smrekami.</t>
        </is>
      </c>
      <c r="O48" s="15" t="inlineStr">
        <is>
          <t>Kisli, mahnati predeli Smrekovca.</t>
        </is>
      </c>
      <c r="P48" s="17" t="inlineStr">
        <is>
          <t>20-30</t>
        </is>
      </c>
      <c r="Q48" s="17" t="inlineStr">
        <is>
          <t>10-20</t>
        </is>
      </c>
      <c r="R48" s="17" t="inlineStr">
        <is>
          <t>Srednji</t>
        </is>
      </c>
      <c r="S48" s="17" t="n"/>
    </row>
    <row r="49" ht="24" customHeight="1" s="28">
      <c r="A49" s="18" t="inlineStr">
        <is>
          <t>Brezov ded</t>
        </is>
      </c>
      <c r="B49" s="7" t="inlineStr">
        <is>
          <t>Leccinum scabrum</t>
        </is>
      </c>
      <c r="C49" s="19" t="inlineStr">
        <is>
          <t>Užitna</t>
        </is>
      </c>
      <c r="D49" s="19" t="inlineStr">
        <is>
          <t>Jun – Okt</t>
        </is>
      </c>
      <c r="E49" s="19" t="inlineStr">
        <is>
          <t>12 – 20 °C</t>
        </is>
      </c>
      <c r="F49" s="7" t="inlineStr">
        <is>
          <t>Izključno breza (Betula)</t>
        </is>
      </c>
      <c r="G49" s="7" t="inlineStr">
        <is>
          <t>Mikoriza; v tleh pod brezami v mešanih gozdovih</t>
        </is>
      </c>
      <c r="H49" s="7" t="inlineStr">
        <is>
          <t>Kisla do nevtralna tla</t>
        </is>
      </c>
      <c r="I49" s="7" t="inlineStr">
        <is>
          <t>Žolčasti goban (Tylopilus felleus) – neužiten, izredno grenak; loči se po rožnati trosovnici (cevke pod klobukom).</t>
        </is>
      </c>
      <c r="J49" s="7" t="inlineStr">
        <is>
          <t>Prijeten</t>
        </is>
      </c>
      <c r="K49" s="7" t="inlineStr">
        <is>
          <t>Meso na prerezu običajno ne spreminja barve ali pa le minimalno posivi.</t>
        </is>
      </c>
      <c r="L49" s="7" t="inlineStr">
        <is>
          <t>Uporaben v vseh gobjih jedeh (pri kuhanju pogosto močno počrni).</t>
        </is>
      </c>
      <c r="M49" s="7" t="inlineStr">
        <is>
          <t>Predalpska in mešana gozdna območja ob brezovih sestojih.</t>
        </is>
      </c>
      <c r="N49" s="7" t="inlineStr">
        <is>
          <t>Pogost povsod, kjer so v dolini in na hribih prisotne posamezne breze.</t>
        </is>
      </c>
      <c r="O49" s="7" t="inlineStr">
        <is>
          <t>Zahteva brezo; podlaga je lahko kisla ali nevtralna (razpršeno).</t>
        </is>
      </c>
      <c r="P49" s="20" t="inlineStr">
        <is>
          <t>20-30</t>
        </is>
      </c>
      <c r="Q49" s="20" t="inlineStr">
        <is>
          <t>10-20</t>
        </is>
      </c>
      <c r="R49" s="20" t="inlineStr">
        <is>
          <t>Srednji</t>
        </is>
      </c>
      <c r="S49" s="20" t="n"/>
    </row>
    <row r="50" ht="24" customHeight="1" s="28">
      <c r="A50" s="14" t="inlineStr">
        <is>
          <t>Brezov turek</t>
        </is>
      </c>
      <c r="B50" s="15" t="inlineStr">
        <is>
          <t>Leccinum versipelle</t>
        </is>
      </c>
      <c r="C50" s="16" t="inlineStr">
        <is>
          <t>Užitna</t>
        </is>
      </c>
      <c r="D50" s="16" t="inlineStr">
        <is>
          <t>Jun – Okt</t>
        </is>
      </c>
      <c r="E50" s="16" t="inlineStr">
        <is>
          <t>12 – 20 °C</t>
        </is>
      </c>
      <c r="F50" s="15" t="inlineStr">
        <is>
          <t>Izključno breza (Betula)</t>
        </is>
      </c>
      <c r="G50" s="15" t="inlineStr">
        <is>
          <t>Mikoriza; v tleh pod brezami, rad ima nekoliko vlažnejša rastišča</t>
        </is>
      </c>
      <c r="H50" s="15" t="inlineStr">
        <is>
          <t>Kisle talne podlage</t>
        </is>
      </c>
      <c r="I50" s="15" t="inlineStr">
        <is>
          <t>Trepetlikov turek (Leccinum aurantiacum) – prav tako užiten in odličen, raste pod trepetlikami/topoli.</t>
        </is>
      </c>
      <c r="J50" s="15" t="inlineStr">
        <is>
          <t>Močan vonj, prijeten</t>
        </is>
      </c>
      <c r="K50" s="15" t="inlineStr">
        <is>
          <t>Meso na prerezu najprej vinsko pordeči/posivi, nato hitro in izrazito počrni.</t>
        </is>
      </c>
      <c r="L50" s="15" t="inlineStr">
        <is>
          <t>Sveža priprava, juhe. Močno obarva jed v temno (črno) barvo.</t>
        </is>
      </c>
      <c r="M50" s="15" t="inlineStr">
        <is>
          <t>Hribovita območja in višje doline v sožitju z brezami.</t>
        </is>
      </c>
      <c r="N50" s="15" t="inlineStr">
        <is>
          <t>Izjemno lep okras obronkov z brezami; precej pogost in rad nabiran.</t>
        </is>
      </c>
      <c r="O50" s="15" t="inlineStr">
        <is>
          <t>Kisla pobočja z vlažnimi tleh in brezami.</t>
        </is>
      </c>
      <c r="P50" s="17" t="inlineStr">
        <is>
          <t>20-30</t>
        </is>
      </c>
      <c r="Q50" s="17" t="inlineStr">
        <is>
          <t>10-20</t>
        </is>
      </c>
      <c r="R50" s="17" t="inlineStr">
        <is>
          <t>Srednji</t>
        </is>
      </c>
      <c r="S50" s="17" t="n"/>
    </row>
    <row r="51" ht="24" customHeight="1" s="28">
      <c r="A51" s="18" t="inlineStr">
        <is>
          <t>Hrastov turek</t>
        </is>
      </c>
      <c r="B51" s="7" t="inlineStr">
        <is>
          <t>Leccinum aurantiacum</t>
        </is>
      </c>
      <c r="C51" s="19" t="inlineStr">
        <is>
          <t>Užitna</t>
        </is>
      </c>
      <c r="D51" s="19" t="inlineStr">
        <is>
          <t>Jun – Okt</t>
        </is>
      </c>
      <c r="E51" s="19" t="inlineStr">
        <is>
          <t>14 – 22 °C</t>
        </is>
      </c>
      <c r="F51" s="7" t="inlineStr">
        <is>
          <t>Hrast, trepetlika, topol</t>
        </is>
      </c>
      <c r="G51" s="7" t="inlineStr">
        <is>
          <t>Mikoriza; v tleh v svetlih listnatih gozdovih</t>
        </is>
      </c>
      <c r="H51" s="7" t="inlineStr">
        <is>
          <t>Nevtralna do bazična tla</t>
        </is>
      </c>
      <c r="I51" s="7" t="inlineStr">
        <is>
          <t>Druge vrste užitnih turkov in dedov – vsi so varni in odlični za hrano.</t>
        </is>
      </c>
      <c r="J51" s="7" t="inlineStr">
        <is>
          <t>Prijeten</t>
        </is>
      </c>
      <c r="K51" s="7" t="inlineStr">
        <is>
          <t>Na prerezu hitro pomodri, vijoliči in nato sivo-črno potemni.</t>
        </is>
      </c>
      <c r="L51" s="7" t="inlineStr">
        <is>
          <t>Sveža priprava, juhe in golaži.</t>
        </is>
      </c>
      <c r="M51" s="7" t="inlineStr">
        <is>
          <t>Svetlejši hrastovi gozdovi in nižine, pogosto ob trepetlikah.</t>
        </is>
      </c>
      <c r="N51" s="7" t="inlineStr">
        <is>
          <t>Redkejši kot brezovi turki, saj potrebuje hraste in trepetlike.</t>
        </is>
      </c>
      <c r="O51" s="7" t="inlineStr">
        <is>
          <t>Zahteva hrast/trepetliko, pogosteje na bazičnih glinastih tleh.</t>
        </is>
      </c>
      <c r="P51" s="20" t="inlineStr">
        <is>
          <t>20-30</t>
        </is>
      </c>
      <c r="Q51" s="20" t="inlineStr">
        <is>
          <t>10-20</t>
        </is>
      </c>
      <c r="R51" s="20" t="inlineStr">
        <is>
          <t>Srednji</t>
        </is>
      </c>
      <c r="S51" s="20" t="n"/>
    </row>
    <row r="52" ht="24" customHeight="1" s="28">
      <c r="A52" s="14" t="inlineStr">
        <is>
          <t>Pisana ploskocevka</t>
        </is>
      </c>
      <c r="B52" s="15" t="inlineStr">
        <is>
          <t>Trametes versicolor</t>
        </is>
      </c>
      <c r="C52" s="16" t="inlineStr">
        <is>
          <t>Neužitna</t>
        </is>
      </c>
      <c r="D52" s="16" t="inlineStr">
        <is>
          <t>Celotno leto</t>
        </is>
      </c>
      <c r="E52" s="16" t="inlineStr">
        <is>
          <t>5 – 20 °C</t>
        </is>
      </c>
      <c r="F52" s="15" t="inlineStr">
        <is>
          <t>Različni listavci (predvsem bukev) (Saprofit)</t>
        </is>
      </c>
      <c r="G52" s="15" t="inlineStr">
        <is>
          <t>Razkrajalka; raste v pahljačah na odmrlih deblih in štori. Uporabna v medicini</t>
        </is>
      </c>
      <c r="H52" s="15" t="inlineStr">
        <is>
          <t>Saprofit na lesu</t>
        </is>
      </c>
      <c r="I52" s="15" t="inlineStr">
        <is>
          <t>Bližnje sorodne ploskocevke – nobena ni strupena, so pa vse preveč lesene za neposredno prehrano.</t>
        </is>
      </c>
      <c r="J52" s="15" t="inlineStr">
        <is>
          <t>Olesenel, rahel okus po gozdu</t>
        </is>
      </c>
      <c r="K52" s="15" t="inlineStr">
        <is>
          <t>Trd les, se ne barva.</t>
        </is>
      </c>
      <c r="L52" s="15" t="inlineStr">
        <is>
          <t>Neužitna v neposredni prehrani. Posušena se uporablja za medicinske čaje in izvlečke.</t>
        </is>
      </c>
      <c r="M52" s="15" t="inlineStr">
        <is>
          <t>Debla povsod po Sloveniji, zelo trpežna in celoletna.</t>
        </is>
      </c>
      <c r="N52" s="15" t="inlineStr">
        <is>
          <t>Na odmrlih deblih listavcev skozi vse leto po vsej dolini.</t>
        </is>
      </c>
      <c r="O52" s="15" t="inlineStr">
        <is>
          <t>Raste izključno na lesu; geološka podlaga nima vpliva.</t>
        </is>
      </c>
      <c r="P52" s="17" t="inlineStr">
        <is>
          <t>20-30</t>
        </is>
      </c>
      <c r="Q52" s="17" t="inlineStr">
        <is>
          <t>10-20</t>
        </is>
      </c>
      <c r="R52" s="17" t="inlineStr">
        <is>
          <t>Srednji</t>
        </is>
      </c>
      <c r="S52" s="17" t="n"/>
    </row>
    <row r="53">
      <c r="A53" s="0" t="inlineStr">
        <is>
          <t>Siva mušnica</t>
        </is>
      </c>
      <c r="B53" s="0" t="inlineStr">
        <is>
          <t>Amanita spissa</t>
        </is>
      </c>
      <c r="C53" s="0" t="inlineStr">
        <is>
          <t>Pogojno užitna</t>
        </is>
      </c>
      <c r="D53" s="0" t="inlineStr">
        <is>
          <t>Jun – Okt</t>
        </is>
      </c>
      <c r="E53" s="0" t="inlineStr">
        <is>
          <t>14 – 22 °C</t>
        </is>
      </c>
      <c r="F53" s="0" t="inlineStr">
        <is>
          <t>Mešani gozdovi</t>
        </is>
      </c>
      <c r="G53" s="0" t="inlineStr">
        <is>
          <t>Mikoriza; v tleh</t>
        </is>
      </c>
      <c r="H53" s="0" t="inlineStr">
        <is>
          <t>Bogata humozna nevtralna tla (pH 6.0 - 7.0)</t>
        </is>
      </c>
      <c r="I53" s="0" t="inlineStr"/>
      <c r="J53" s="0" t="inlineStr">
        <is>
          <t>Vonj po zemlji ali repi, okus neizrazit</t>
        </is>
      </c>
      <c r="K53" s="0" t="inlineStr">
        <is>
          <t>Meso ostane sivo-belo</t>
        </is>
      </c>
      <c r="L53" s="0" t="inlineStr">
        <is>
          <t>Sveža priprava ali sušenje</t>
        </is>
      </c>
      <c r="M53" s="0" t="inlineStr">
        <is>
          <t>Vse višine</t>
        </is>
      </c>
      <c r="N53" s="0" t="inlineStr">
        <is>
          <t>Prisotna po celotni dolini</t>
        </is>
      </c>
      <c r="O53" s="0" t="inlineStr">
        <is>
          <t>Prehodna in široko razširjena območja (mešani gozdovi in hribovja širom doline)</t>
        </is>
      </c>
      <c r="P53" s="0" t="inlineStr">
        <is>
          <t>20-30</t>
        </is>
      </c>
      <c r="Q53" s="0" t="inlineStr">
        <is>
          <t>14-22</t>
        </is>
      </c>
      <c r="R53" s="0" t="inlineStr">
        <is>
          <t>Srednji</t>
        </is>
      </c>
    </row>
    <row r="54">
      <c r="A54" s="0" t="inlineStr">
        <is>
          <t>Čokata mušnica</t>
        </is>
      </c>
      <c r="B54" s="0" t="inlineStr">
        <is>
          <t>Amanita excelsa</t>
        </is>
      </c>
      <c r="C54" s="0" t="inlineStr">
        <is>
          <t>Pogojno užitna</t>
        </is>
      </c>
      <c r="D54" s="0" t="inlineStr">
        <is>
          <t>Jun – Okt</t>
        </is>
      </c>
      <c r="E54" s="0" t="inlineStr">
        <is>
          <t>14 – 22 °C</t>
        </is>
      </c>
      <c r="F54" s="0" t="inlineStr">
        <is>
          <t>Mešani gozdovi</t>
        </is>
      </c>
      <c r="G54" s="0" t="inlineStr">
        <is>
          <t>Mikoriza; v tleh</t>
        </is>
      </c>
      <c r="H54" s="0" t="inlineStr">
        <is>
          <t>Bogata humozna nevtralna tla (pH 6.0 - 7.0)</t>
        </is>
      </c>
      <c r="I54" s="0" t="inlineStr"/>
      <c r="J54" s="0" t="inlineStr">
        <is>
          <t>Vonj po zemlji ali repi, okus neizrazit</t>
        </is>
      </c>
      <c r="K54" s="0" t="inlineStr">
        <is>
          <t>Meso ostane sivo-belo</t>
        </is>
      </c>
      <c r="L54" s="0" t="inlineStr">
        <is>
          <t>Sveža priprava ali sušenje</t>
        </is>
      </c>
      <c r="M54" s="0" t="inlineStr">
        <is>
          <t>Vse višine</t>
        </is>
      </c>
      <c r="N54" s="0" t="inlineStr">
        <is>
          <t>Prisotna po celotni dolini</t>
        </is>
      </c>
      <c r="O54" s="0" t="inlineStr">
        <is>
          <t>Prehodna in široko razširjena območja (mešani gozdovi in hribovja širom doline)</t>
        </is>
      </c>
      <c r="P54" s="0" t="inlineStr">
        <is>
          <t>20-30</t>
        </is>
      </c>
      <c r="Q54" s="0" t="inlineStr">
        <is>
          <t>14-22</t>
        </is>
      </c>
      <c r="R54" s="0" t="inlineStr">
        <is>
          <t>Srednji</t>
        </is>
      </c>
    </row>
    <row r="55">
      <c r="A55" s="0" t="inlineStr">
        <is>
          <t>Bleda mušnica</t>
        </is>
      </c>
      <c r="B55" s="0" t="inlineStr">
        <is>
          <t>Amanita citrina</t>
        </is>
      </c>
      <c r="C55" s="0" t="inlineStr">
        <is>
          <t>Neužitna</t>
        </is>
      </c>
      <c r="D55" s="0" t="inlineStr">
        <is>
          <t>Avg – Nov</t>
        </is>
      </c>
      <c r="E55" s="0" t="inlineStr">
        <is>
          <t>10 – 18 °C</t>
        </is>
      </c>
      <c r="F55" s="0" t="inlineStr">
        <is>
          <t>Mešani gozdovi</t>
        </is>
      </c>
      <c r="G55" s="0" t="inlineStr">
        <is>
          <t>Mikoriza; v tleh</t>
        </is>
      </c>
      <c r="H55" s="0" t="inlineStr">
        <is>
          <t>Bogata humozna nevtralna tla (pH 6.0 - 7.0)</t>
        </is>
      </c>
      <c r="I55" s="0" t="inlineStr"/>
      <c r="J55" s="0" t="inlineStr">
        <is>
          <t>Neprijeten, močno po surovem krompirju ali redkvi</t>
        </is>
      </c>
      <c r="K55" s="0" t="inlineStr">
        <is>
          <t>Meso nespremenljivo bledo rumenkasto</t>
        </is>
      </c>
      <c r="L55" s="0" t="inlineStr">
        <is>
          <t>STRUPENA / NEUŽITNA (Ne nabiraj za prehrano!)</t>
        </is>
      </c>
      <c r="M55" s="0" t="inlineStr">
        <is>
          <t>Vse višine</t>
        </is>
      </c>
      <c r="N55" s="0" t="inlineStr">
        <is>
          <t>Prisotna po celotni dolini</t>
        </is>
      </c>
      <c r="O55" s="0" t="inlineStr">
        <is>
          <t>Prehodna in široko razširjena območja (mešani gozdovi in hribovja širom doline)</t>
        </is>
      </c>
      <c r="P55" s="0" t="inlineStr">
        <is>
          <t>20-30</t>
        </is>
      </c>
      <c r="Q55" s="0" t="inlineStr">
        <is>
          <t>10-18</t>
        </is>
      </c>
      <c r="R55" s="0" t="inlineStr">
        <is>
          <t>Srednji</t>
        </is>
      </c>
    </row>
    <row r="56">
      <c r="A56" s="0" t="inlineStr">
        <is>
          <t>Oranžna lupinarica</t>
        </is>
      </c>
      <c r="B56" s="0" t="inlineStr">
        <is>
          <t>Amanita crocea</t>
        </is>
      </c>
      <c r="C56" s="0" t="inlineStr">
        <is>
          <t>Pogojno užitna</t>
        </is>
      </c>
      <c r="D56" s="0" t="inlineStr">
        <is>
          <t>Jul – Nov</t>
        </is>
      </c>
      <c r="E56" s="0" t="inlineStr">
        <is>
          <t>12 – 22 °C</t>
        </is>
      </c>
      <c r="F56" s="0" t="inlineStr">
        <is>
          <t>Mešani gozdovi</t>
        </is>
      </c>
      <c r="G56" s="0" t="inlineStr">
        <is>
          <t>Mikoriza; v tleh</t>
        </is>
      </c>
      <c r="H56" s="0" t="inlineStr">
        <is>
          <t>Bogata humozna nevtralna tla (pH 6.0 - 7.0)</t>
        </is>
      </c>
      <c r="I56" s="0" t="inlineStr"/>
      <c r="J56" s="0" t="inlineStr">
        <is>
          <t>Prijeten, blag, rahlo po orehih</t>
        </is>
      </c>
      <c r="K56" s="0" t="inlineStr">
        <is>
          <t>Krhko belo meso, ne spreminja barve</t>
        </is>
      </c>
      <c r="L56" s="0" t="inlineStr">
        <is>
          <t>Obvezno toplotno obdelati! Uporabna za juhe.</t>
        </is>
      </c>
      <c r="M56" s="0" t="inlineStr">
        <is>
          <t>Vse višine</t>
        </is>
      </c>
      <c r="N56" s="0" t="inlineStr">
        <is>
          <t>Prisotna po celotni dolini</t>
        </is>
      </c>
      <c r="O56" s="0" t="inlineStr">
        <is>
          <t>Prehodna in široko razširjena območja (mešani gozdovi in hribovja širom doline)</t>
        </is>
      </c>
      <c r="P56" s="0" t="inlineStr">
        <is>
          <t>20-30</t>
        </is>
      </c>
      <c r="Q56" s="0" t="inlineStr">
        <is>
          <t>12-22</t>
        </is>
      </c>
      <c r="R56" s="0" t="inlineStr">
        <is>
          <t>Srednji</t>
        </is>
      </c>
    </row>
    <row r="57">
      <c r="A57" s="0" t="inlineStr">
        <is>
          <t>Siva lupinarica</t>
        </is>
      </c>
      <c r="B57" s="0" t="inlineStr">
        <is>
          <t>Amanita vaginata</t>
        </is>
      </c>
      <c r="C57" s="0" t="inlineStr">
        <is>
          <t>Pogojno užitna</t>
        </is>
      </c>
      <c r="D57" s="0" t="inlineStr">
        <is>
          <t>Jul – Nov</t>
        </is>
      </c>
      <c r="E57" s="0" t="inlineStr">
        <is>
          <t>12 – 22 °C</t>
        </is>
      </c>
      <c r="F57" s="0" t="inlineStr">
        <is>
          <t>Mešani gozdovi</t>
        </is>
      </c>
      <c r="G57" s="0" t="inlineStr">
        <is>
          <t>Mikoriza; v tleh</t>
        </is>
      </c>
      <c r="H57" s="0" t="inlineStr">
        <is>
          <t>Bogata humozna nevtralna tla (pH 6.0 - 7.0)</t>
        </is>
      </c>
      <c r="I57" s="0" t="inlineStr"/>
      <c r="J57" s="0" t="inlineStr">
        <is>
          <t>Prijeten, blag, rahlo po orehih</t>
        </is>
      </c>
      <c r="K57" s="0" t="inlineStr">
        <is>
          <t>Krhko belo meso, ne spreminja barve</t>
        </is>
      </c>
      <c r="L57" s="0" t="inlineStr">
        <is>
          <t>Obvezno toplotno obdelati! Uporabna za juhe.</t>
        </is>
      </c>
      <c r="M57" s="0" t="inlineStr">
        <is>
          <t>Vse višine</t>
        </is>
      </c>
      <c r="N57" s="0" t="inlineStr">
        <is>
          <t>Prisotna po celotni dolini</t>
        </is>
      </c>
      <c r="O57" s="0" t="inlineStr">
        <is>
          <t>Prehodna in široko razširjena območja (mešani gozdovi in hribovja širom doline)</t>
        </is>
      </c>
      <c r="P57" s="0" t="inlineStr">
        <is>
          <t>20-30</t>
        </is>
      </c>
      <c r="Q57" s="0" t="inlineStr">
        <is>
          <t>12-22</t>
        </is>
      </c>
      <c r="R57" s="0" t="inlineStr">
        <is>
          <t>Srednji</t>
        </is>
      </c>
    </row>
    <row r="58">
      <c r="A58" s="0" t="inlineStr">
        <is>
          <t>Rjava lupinarica</t>
        </is>
      </c>
      <c r="B58" s="0" t="inlineStr">
        <is>
          <t>Amanita fulva</t>
        </is>
      </c>
      <c r="C58" s="0" t="inlineStr">
        <is>
          <t>Pogojno užitna</t>
        </is>
      </c>
      <c r="D58" s="0" t="inlineStr">
        <is>
          <t>Jul – Nov</t>
        </is>
      </c>
      <c r="E58" s="0" t="inlineStr">
        <is>
          <t>12 – 22 °C</t>
        </is>
      </c>
      <c r="F58" s="0" t="inlineStr">
        <is>
          <t>Mešani gozdovi</t>
        </is>
      </c>
      <c r="G58" s="0" t="inlineStr">
        <is>
          <t>Mikoriza; v tleh</t>
        </is>
      </c>
      <c r="H58" s="0" t="inlineStr">
        <is>
          <t>Bogata humozna nevtralna tla (pH 6.0 - 7.0)</t>
        </is>
      </c>
      <c r="I58" s="0" t="inlineStr"/>
      <c r="J58" s="0" t="inlineStr">
        <is>
          <t>Prijeten, blag, rahlo po orehih</t>
        </is>
      </c>
      <c r="K58" s="0" t="inlineStr">
        <is>
          <t>Krhko belo meso, ne spreminja barve</t>
        </is>
      </c>
      <c r="L58" s="0" t="inlineStr">
        <is>
          <t>Obvezno toplotno obdelati! Uporabna za juhe.</t>
        </is>
      </c>
      <c r="M58" s="0" t="inlineStr">
        <is>
          <t>Vse višine</t>
        </is>
      </c>
      <c r="N58" s="0" t="inlineStr">
        <is>
          <t>Prisotna po celotni dolini</t>
        </is>
      </c>
      <c r="O58" s="0" t="inlineStr">
        <is>
          <t>Prehodna in široko razširjena območja (mešani gozdovi in hribovja širom doline)</t>
        </is>
      </c>
      <c r="P58" s="0" t="inlineStr">
        <is>
          <t>20-30</t>
        </is>
      </c>
      <c r="Q58" s="0" t="inlineStr">
        <is>
          <t>12-22</t>
        </is>
      </c>
      <c r="R58" s="0" t="inlineStr">
        <is>
          <t>Srednji</t>
        </is>
      </c>
    </row>
    <row r="59">
      <c r="A59" s="0" t="inlineStr">
        <is>
          <t>Porfirasta mušnica</t>
        </is>
      </c>
      <c r="B59" s="0" t="inlineStr">
        <is>
          <t>Amanita porphyria</t>
        </is>
      </c>
      <c r="C59" s="0" t="inlineStr">
        <is>
          <t>Strupena</t>
        </is>
      </c>
      <c r="D59" s="0" t="inlineStr">
        <is>
          <t>Avg – Okt</t>
        </is>
      </c>
      <c r="E59" s="0" t="inlineStr">
        <is>
          <t>12 – 20 °C</t>
        </is>
      </c>
      <c r="F59" s="0" t="inlineStr">
        <is>
          <t>Mešani gozdovi</t>
        </is>
      </c>
      <c r="G59" s="0" t="inlineStr">
        <is>
          <t>Mikoriza; v tleh</t>
        </is>
      </c>
      <c r="H59" s="0" t="inlineStr">
        <is>
          <t>Bogata humozna nevtralna tla (pH 6.0 - 7.0)</t>
        </is>
      </c>
      <c r="I59" s="0" t="inlineStr">
        <is>
          <t>Zamenljiva z užitnimi vrstami! Previdno!</t>
        </is>
      </c>
      <c r="J59" s="0" t="inlineStr">
        <is>
          <t>Zelo močan vonj po surovem krompirju</t>
        </is>
      </c>
      <c r="K59" s="0" t="inlineStr">
        <is>
          <t>Ne spreminja barve</t>
        </is>
      </c>
      <c r="L59" s="0" t="inlineStr">
        <is>
          <t>STRUPENA / NEUŽITNA (Ne nabiraj za prehrano!)</t>
        </is>
      </c>
      <c r="M59" s="0" t="inlineStr">
        <is>
          <t>Vse višine</t>
        </is>
      </c>
      <c r="N59" s="0" t="inlineStr">
        <is>
          <t>Prisotna po celotni dolini</t>
        </is>
      </c>
      <c r="O59" s="0" t="inlineStr">
        <is>
          <t>Prehodna in široko razširjena območja (mešani gozdovi in hribovja širom doline)</t>
        </is>
      </c>
      <c r="P59" s="0" t="inlineStr">
        <is>
          <t>20-30</t>
        </is>
      </c>
      <c r="Q59" s="0" t="inlineStr">
        <is>
          <t>12-20</t>
        </is>
      </c>
      <c r="R59" s="0" t="inlineStr">
        <is>
          <t>Srednji</t>
        </is>
      </c>
    </row>
    <row r="60">
      <c r="A60" s="0" t="inlineStr">
        <is>
          <t>Hrapava mušnica</t>
        </is>
      </c>
      <c r="B60" s="0" t="inlineStr">
        <is>
          <t>Amanita franchetii</t>
        </is>
      </c>
      <c r="C60" s="0" t="inlineStr">
        <is>
          <t>Neužitna</t>
        </is>
      </c>
      <c r="D60" s="0" t="inlineStr">
        <is>
          <t>Jul – Okt</t>
        </is>
      </c>
      <c r="E60" s="0" t="inlineStr">
        <is>
          <t>12 – 20 °C</t>
        </is>
      </c>
      <c r="F60" s="0" t="inlineStr">
        <is>
          <t>Mešani gozdovi</t>
        </is>
      </c>
      <c r="G60" s="0" t="inlineStr">
        <is>
          <t>Mikoriza; v tleh</t>
        </is>
      </c>
      <c r="H60" s="0" t="inlineStr">
        <is>
          <t>Bogata humozna nevtralna tla (pH 6.0 - 7.0)</t>
        </is>
      </c>
      <c r="I60" s="0" t="inlineStr"/>
      <c r="J60" s="0" t="inlineStr">
        <is>
          <t>Neprijeten, oster vonj</t>
        </is>
      </c>
      <c r="K60" s="0" t="inlineStr">
        <is>
          <t>Ne spreminja barve</t>
        </is>
      </c>
      <c r="L60" s="0" t="inlineStr">
        <is>
          <t>STRUPENA / NEUŽITNA (Ne nabiraj za prehrano!)</t>
        </is>
      </c>
      <c r="M60" s="0" t="inlineStr">
        <is>
          <t>Vse višine</t>
        </is>
      </c>
      <c r="N60" s="0" t="inlineStr">
        <is>
          <t>Prisotna po celotni dolini</t>
        </is>
      </c>
      <c r="O60" s="0" t="inlineStr">
        <is>
          <t>Prehodna in široko razširjena območja (mešani gozdovi in hribovja širom doline)</t>
        </is>
      </c>
      <c r="P60" s="0" t="inlineStr">
        <is>
          <t>20-30</t>
        </is>
      </c>
      <c r="Q60" s="0" t="inlineStr">
        <is>
          <t>12-20</t>
        </is>
      </c>
      <c r="R60" s="0" t="inlineStr">
        <is>
          <t>Srednji</t>
        </is>
      </c>
    </row>
    <row r="61">
      <c r="A61" s="0" t="inlineStr">
        <is>
          <t>Svinjski goban</t>
        </is>
      </c>
      <c r="B61" s="0" t="inlineStr">
        <is>
          <t>Suillellus queletii</t>
        </is>
      </c>
      <c r="C61" s="0" t="inlineStr">
        <is>
          <t>Pogojno užitna</t>
        </is>
      </c>
      <c r="D61" s="0" t="inlineStr">
        <is>
          <t>Jul – Okt</t>
        </is>
      </c>
      <c r="E61" s="0" t="inlineStr">
        <is>
          <t>12 – 20 °C</t>
        </is>
      </c>
      <c r="F61" s="0" t="inlineStr">
        <is>
          <t>Mešani gozdovi</t>
        </is>
      </c>
      <c r="G61" s="0" t="inlineStr">
        <is>
          <t>Mikoriza; v tleh</t>
        </is>
      </c>
      <c r="H61" s="0" t="inlineStr">
        <is>
          <t>Bogata humozna nevtralna tla (pH 6.0 - 7.0)</t>
        </is>
      </c>
      <c r="I61" s="0" t="inlineStr"/>
      <c r="J61" s="0" t="inlineStr">
        <is>
          <t>Značilen po gobah</t>
        </is>
      </c>
      <c r="K61" s="0" t="inlineStr">
        <is>
          <t>Ne spreminja barve</t>
        </is>
      </c>
      <c r="L61" s="0" t="inlineStr">
        <is>
          <t>Sveža priprava ali sušenje</t>
        </is>
      </c>
      <c r="M61" s="0" t="inlineStr">
        <is>
          <t>Vse višine</t>
        </is>
      </c>
      <c r="N61" s="0" t="inlineStr">
        <is>
          <t>Prisotna po celotni dolini</t>
        </is>
      </c>
      <c r="O61" s="0" t="inlineStr">
        <is>
          <t>Prehodna in široko razširjena območja (mešani gozdovi in hribovja širom doline)</t>
        </is>
      </c>
      <c r="P61" s="0" t="inlineStr">
        <is>
          <t>25-35</t>
        </is>
      </c>
      <c r="Q61" s="0" t="inlineStr">
        <is>
          <t>12-20</t>
        </is>
      </c>
      <c r="R61" s="0" t="inlineStr">
        <is>
          <t>Srednji</t>
        </is>
      </c>
    </row>
    <row r="62">
      <c r="A62" s="0" t="inlineStr">
        <is>
          <t>Sivi goban</t>
        </is>
      </c>
      <c r="B62" s="0" t="inlineStr">
        <is>
          <t>Hemileccinum impolitum</t>
        </is>
      </c>
      <c r="C62" s="0" t="inlineStr">
        <is>
          <t>Užitna</t>
        </is>
      </c>
      <c r="D62" s="0" t="inlineStr">
        <is>
          <t>Jul – Okt</t>
        </is>
      </c>
      <c r="E62" s="0" t="inlineStr">
        <is>
          <t>12 – 20 °C</t>
        </is>
      </c>
      <c r="F62" s="0" t="inlineStr">
        <is>
          <t>Mešani gozdovi</t>
        </is>
      </c>
      <c r="G62" s="0" t="inlineStr">
        <is>
          <t>Mikoriza; v tleh</t>
        </is>
      </c>
      <c r="H62" s="0" t="inlineStr">
        <is>
          <t>Bogata humozna nevtralna tla (pH 6.0 - 7.0)</t>
        </is>
      </c>
      <c r="I62" s="0" t="inlineStr"/>
      <c r="J62" s="0" t="inlineStr">
        <is>
          <t>Izrazito prijeten vonj po gobah</t>
        </is>
      </c>
      <c r="K62" s="0" t="inlineStr">
        <is>
          <t>Ne spreminja barve</t>
        </is>
      </c>
      <c r="L62" s="0" t="inlineStr">
        <is>
          <t>Sveža priprava ali sušenje</t>
        </is>
      </c>
      <c r="M62" s="0" t="inlineStr">
        <is>
          <t>Vse višine</t>
        </is>
      </c>
      <c r="N62" s="0" t="inlineStr">
        <is>
          <t>Prisotna po celotni dolini</t>
        </is>
      </c>
      <c r="O62" s="0" t="inlineStr">
        <is>
          <t>Prehodna in široko razširjena območja (mešani gozdovi in hribovja širom doline)</t>
        </is>
      </c>
      <c r="P62" s="0" t="inlineStr">
        <is>
          <t>30-40</t>
        </is>
      </c>
      <c r="Q62" s="0" t="inlineStr">
        <is>
          <t>12-20</t>
        </is>
      </c>
      <c r="R62" s="0" t="inlineStr">
        <is>
          <t>Nizek (hitro se izsušijo)</t>
        </is>
      </c>
    </row>
    <row r="63">
      <c r="A63" s="0" t="inlineStr">
        <is>
          <t>Preprosti goban</t>
        </is>
      </c>
      <c r="B63" s="0" t="inlineStr">
        <is>
          <t>Suillellus luridus</t>
        </is>
      </c>
      <c r="C63" s="0" t="inlineStr">
        <is>
          <t>Pogojno užitna</t>
        </is>
      </c>
      <c r="D63" s="0" t="inlineStr">
        <is>
          <t>Jul – Okt</t>
        </is>
      </c>
      <c r="E63" s="0" t="inlineStr">
        <is>
          <t>12 – 20 °C</t>
        </is>
      </c>
      <c r="F63" s="0" t="inlineStr">
        <is>
          <t>Mešani gozdovi</t>
        </is>
      </c>
      <c r="G63" s="0" t="inlineStr">
        <is>
          <t>Mikoriza; v tleh</t>
        </is>
      </c>
      <c r="H63" s="0" t="inlineStr">
        <is>
          <t>Bogata humozna nevtralna tla (pH 6.0 - 7.0)</t>
        </is>
      </c>
      <c r="I63" s="0" t="inlineStr"/>
      <c r="J63" s="0" t="inlineStr">
        <is>
          <t>Značilen po gobah</t>
        </is>
      </c>
      <c r="K63" s="0" t="inlineStr">
        <is>
          <t>Ne spreminja barve</t>
        </is>
      </c>
      <c r="L63" s="0" t="inlineStr">
        <is>
          <t>Sveža priprava ali sušenje</t>
        </is>
      </c>
      <c r="M63" s="0" t="inlineStr">
        <is>
          <t>Vse višine</t>
        </is>
      </c>
      <c r="N63" s="0" t="inlineStr">
        <is>
          <t>Prisotna po celotni dolini</t>
        </is>
      </c>
      <c r="O63" s="0" t="inlineStr">
        <is>
          <t>Prehodna in široko razširjena območja (mešani gozdovi in hribovja širom doline)</t>
        </is>
      </c>
      <c r="P63" s="0" t="inlineStr">
        <is>
          <t>25-35</t>
        </is>
      </c>
      <c r="Q63" s="0" t="inlineStr">
        <is>
          <t>12-20</t>
        </is>
      </c>
      <c r="R63" s="0" t="inlineStr">
        <is>
          <t>Srednji</t>
        </is>
      </c>
    </row>
    <row r="64">
      <c r="A64" s="0" t="inlineStr">
        <is>
          <t>Rdeči goban</t>
        </is>
      </c>
      <c r="B64" s="0" t="inlineStr">
        <is>
          <t>Hortiboletus rubellus</t>
        </is>
      </c>
      <c r="C64" s="0" t="inlineStr">
        <is>
          <t>Užitna</t>
        </is>
      </c>
      <c r="D64" s="0" t="inlineStr">
        <is>
          <t>Jul – Okt</t>
        </is>
      </c>
      <c r="E64" s="0" t="inlineStr">
        <is>
          <t>12 – 20 °C</t>
        </is>
      </c>
      <c r="F64" s="0" t="inlineStr">
        <is>
          <t>Mešani gozdovi</t>
        </is>
      </c>
      <c r="G64" s="0" t="inlineStr">
        <is>
          <t>Mikoriza; v tleh</t>
        </is>
      </c>
      <c r="H64" s="0" t="inlineStr">
        <is>
          <t>Bogata humozna nevtralna tla (pH 6.0 - 7.0)</t>
        </is>
      </c>
      <c r="I64" s="0" t="inlineStr"/>
      <c r="J64" s="0" t="inlineStr">
        <is>
          <t>Značilen po gobah</t>
        </is>
      </c>
      <c r="K64" s="0" t="inlineStr">
        <is>
          <t>Ne spreminja barve</t>
        </is>
      </c>
      <c r="L64" s="0" t="inlineStr">
        <is>
          <t>Sveža priprava ali sušenje</t>
        </is>
      </c>
      <c r="M64" s="0" t="inlineStr">
        <is>
          <t>Vse višine</t>
        </is>
      </c>
      <c r="N64" s="0" t="inlineStr">
        <is>
          <t>Prisotna po celotni dolini</t>
        </is>
      </c>
      <c r="O64" s="0" t="inlineStr">
        <is>
          <t>Prehodna in široko razširjena območja (mešani gozdovi in hribovja širom doline)</t>
        </is>
      </c>
      <c r="P64" s="0" t="inlineStr">
        <is>
          <t>25-35</t>
        </is>
      </c>
      <c r="Q64" s="0" t="inlineStr">
        <is>
          <t>12-20</t>
        </is>
      </c>
      <c r="R64" s="0" t="inlineStr">
        <is>
          <t>Srednji</t>
        </is>
      </c>
    </row>
    <row r="65">
      <c r="A65" s="0" t="inlineStr">
        <is>
          <t>Rumeni goban</t>
        </is>
      </c>
      <c r="B65" s="0" t="inlineStr">
        <is>
          <t>Neoboletus pseudosulphureus</t>
        </is>
      </c>
      <c r="C65" s="0" t="inlineStr">
        <is>
          <t>Pogojno užitna</t>
        </is>
      </c>
      <c r="D65" s="0" t="inlineStr">
        <is>
          <t>Jul – Okt</t>
        </is>
      </c>
      <c r="E65" s="0" t="inlineStr">
        <is>
          <t>12 – 20 °C</t>
        </is>
      </c>
      <c r="F65" s="0" t="inlineStr">
        <is>
          <t>Mešani gozdovi</t>
        </is>
      </c>
      <c r="G65" s="0" t="inlineStr">
        <is>
          <t>Mikoriza; v tleh</t>
        </is>
      </c>
      <c r="H65" s="0" t="inlineStr">
        <is>
          <t>Bogata humozna nevtralna tla (pH 6.0 - 7.0)</t>
        </is>
      </c>
      <c r="I65" s="0" t="inlineStr"/>
      <c r="J65" s="0" t="inlineStr">
        <is>
          <t>Kiselkast, intenziven vonj</t>
        </is>
      </c>
      <c r="K65" s="0" t="inlineStr">
        <is>
          <t>Ne spreminja barve</t>
        </is>
      </c>
      <c r="L65" s="0" t="inlineStr">
        <is>
          <t>Užitna le povsem mlada (mehka). Kuhati vsaj 20 min (okus po piščancu).</t>
        </is>
      </c>
      <c r="M65" s="0" t="inlineStr">
        <is>
          <t>Vse višine</t>
        </is>
      </c>
      <c r="N65" s="0" t="inlineStr">
        <is>
          <t>Prisotna po celotni dolini</t>
        </is>
      </c>
      <c r="O65" s="0" t="inlineStr">
        <is>
          <t>Prehodna in široko razširjena območja (mešani gozdovi in hribovja širom doline)</t>
        </is>
      </c>
      <c r="P65" s="0" t="inlineStr">
        <is>
          <t>25-35</t>
        </is>
      </c>
      <c r="Q65" s="0" t="inlineStr">
        <is>
          <t>12-20</t>
        </is>
      </c>
      <c r="R65" s="0" t="inlineStr">
        <is>
          <t>Srednji</t>
        </is>
      </c>
    </row>
    <row r="66">
      <c r="A66" s="0" t="inlineStr">
        <is>
          <t>Peščena lupljivka</t>
        </is>
      </c>
      <c r="B66" s="0" t="inlineStr">
        <is>
          <t>Suillus variegatus</t>
        </is>
      </c>
      <c r="C66" s="0" t="inlineStr">
        <is>
          <t>Užitna</t>
        </is>
      </c>
      <c r="D66" s="0" t="inlineStr">
        <is>
          <t>Avg – Nov</t>
        </is>
      </c>
      <c r="E66" s="0" t="inlineStr">
        <is>
          <t>8 – 16 °C</t>
        </is>
      </c>
      <c r="F66" s="0" t="inlineStr">
        <is>
          <t>Iglavci (bor, macesen)</t>
        </is>
      </c>
      <c r="G66" s="0" t="inlineStr">
        <is>
          <t>Mikoriza; v tleh</t>
        </is>
      </c>
      <c r="H66" s="0" t="inlineStr">
        <is>
          <t>Izrazito kisla silikatna in šotna tla (pH 4.0 - 5.5)</t>
        </is>
      </c>
      <c r="I66" s="0" t="inlineStr"/>
      <c r="J66" s="0" t="inlineStr">
        <is>
          <t>Močan vonj po kloru ali iglicah, ko jo prerežemo</t>
        </is>
      </c>
      <c r="K66" s="0" t="inlineStr">
        <is>
          <t>Meso rahlo pomodri na zraku</t>
        </is>
      </c>
      <c r="L66" s="0" t="inlineStr">
        <is>
          <t>Obvezno olupiti kožico klobuka! Odlične za vlaganje in juhe.</t>
        </is>
      </c>
      <c r="M66" s="0" t="inlineStr">
        <is>
          <t>Vse višine</t>
        </is>
      </c>
      <c r="N66" s="0" t="inlineStr">
        <is>
          <t>Prisotna po celotni dolini</t>
        </is>
      </c>
      <c r="O66" s="0" t="inlineStr">
        <is>
          <t>Vulkansko pogorje Smrekovca, Komen, Krnes (kisla silikatna osnova in šotišča)</t>
        </is>
      </c>
      <c r="P66" s="0" t="inlineStr">
        <is>
          <t>25-35</t>
        </is>
      </c>
      <c r="Q66" s="0" t="inlineStr">
        <is>
          <t>8-16</t>
        </is>
      </c>
      <c r="R66" s="0" t="inlineStr">
        <is>
          <t>Srednji (sluz ščiti pred vetrom)</t>
        </is>
      </c>
    </row>
    <row r="67">
      <c r="A67" s="0" t="inlineStr">
        <is>
          <t>Ovčja lupljivka</t>
        </is>
      </c>
      <c r="B67" s="0" t="inlineStr">
        <is>
          <t>Suillus granulatus</t>
        </is>
      </c>
      <c r="C67" s="0" t="inlineStr">
        <is>
          <t>Užitna</t>
        </is>
      </c>
      <c r="D67" s="0" t="inlineStr">
        <is>
          <t>Jun – Nov</t>
        </is>
      </c>
      <c r="E67" s="0" t="inlineStr">
        <is>
          <t>12 – 20 °C</t>
        </is>
      </c>
      <c r="F67" s="0" t="inlineStr">
        <is>
          <t>Iglavci (bor, macesen)</t>
        </is>
      </c>
      <c r="G67" s="0" t="inlineStr">
        <is>
          <t>Mikoriza; v tleh</t>
        </is>
      </c>
      <c r="H67" s="0" t="inlineStr">
        <is>
          <t>Izrazito kisla silikatna in šotna tla (pH 4.0 - 5.5)</t>
        </is>
      </c>
      <c r="I67" s="0" t="inlineStr"/>
      <c r="J67" s="0" t="inlineStr">
        <is>
          <t>Prijeten, rahlo saden ali po borovcih</t>
        </is>
      </c>
      <c r="K67" s="0" t="inlineStr">
        <is>
          <t>Meso je belkasto-rumeno, ne modri, je precej mehko</t>
        </is>
      </c>
      <c r="L67" s="0" t="inlineStr">
        <is>
          <t>Obvezno olupiti kožico klobuka! Odlične za vlaganje in juhe.</t>
        </is>
      </c>
      <c r="M67" s="0" t="inlineStr">
        <is>
          <t>Vse višine</t>
        </is>
      </c>
      <c r="N67" s="0" t="inlineStr">
        <is>
          <t>Prisotna po celotni dolini</t>
        </is>
      </c>
      <c r="O67" s="0" t="inlineStr">
        <is>
          <t>Vulkansko pogorje Smrekovca, Komen, Krnes (kisla silikatna osnova in šotišča)</t>
        </is>
      </c>
      <c r="P67" s="0" t="inlineStr">
        <is>
          <t>25-35</t>
        </is>
      </c>
      <c r="Q67" s="0" t="inlineStr">
        <is>
          <t>12-20</t>
        </is>
      </c>
      <c r="R67" s="0" t="inlineStr">
        <is>
          <t>Srednji (sluz ščiti pred vetrom)</t>
        </is>
      </c>
    </row>
    <row r="68">
      <c r="A68" s="0" t="inlineStr">
        <is>
          <t>Kravja lupljivka</t>
        </is>
      </c>
      <c r="B68" s="0" t="inlineStr">
        <is>
          <t>Suillus bovinus</t>
        </is>
      </c>
      <c r="C68" s="0" t="inlineStr">
        <is>
          <t>Užitna</t>
        </is>
      </c>
      <c r="D68" s="0" t="inlineStr">
        <is>
          <t>Jun – Nov</t>
        </is>
      </c>
      <c r="E68" s="0" t="inlineStr">
        <is>
          <t>12 – 20 °C</t>
        </is>
      </c>
      <c r="F68" s="0" t="inlineStr">
        <is>
          <t>Iglavci (bor, macesen)</t>
        </is>
      </c>
      <c r="G68" s="0" t="inlineStr">
        <is>
          <t>Mikoriza; v tleh</t>
        </is>
      </c>
      <c r="H68" s="0" t="inlineStr">
        <is>
          <t>Izrazito kisla silikatna in šotna tla (pH 4.0 - 5.5)</t>
        </is>
      </c>
      <c r="I68" s="0" t="inlineStr"/>
      <c r="J68" s="0" t="inlineStr">
        <is>
          <t>Prijeten, rahlo saden ali po borovcih</t>
        </is>
      </c>
      <c r="K68" s="0" t="inlineStr">
        <is>
          <t>Meso je belkasto-rumeno, ne modri, je precej mehko</t>
        </is>
      </c>
      <c r="L68" s="0" t="inlineStr">
        <is>
          <t>Obvezno olupiti kožico klobuka! Odlične za vlaganje in juhe.</t>
        </is>
      </c>
      <c r="M68" s="0" t="inlineStr">
        <is>
          <t>Vse višine</t>
        </is>
      </c>
      <c r="N68" s="0" t="inlineStr">
        <is>
          <t>Prisotna po celotni dolini</t>
        </is>
      </c>
      <c r="O68" s="0" t="inlineStr">
        <is>
          <t>Vulkansko pogorje Smrekovca, Komen, Krnes (kisla silikatna osnova in šotišča)</t>
        </is>
      </c>
      <c r="P68" s="0" t="inlineStr">
        <is>
          <t>25-35</t>
        </is>
      </c>
      <c r="Q68" s="0" t="inlineStr">
        <is>
          <t>12-20</t>
        </is>
      </c>
      <c r="R68" s="0" t="inlineStr">
        <is>
          <t>Srednji (sluz ščiti pred vetrom)</t>
        </is>
      </c>
    </row>
    <row r="69">
      <c r="A69" s="0" t="inlineStr">
        <is>
          <t>Žolčasti goban</t>
        </is>
      </c>
      <c r="B69" s="0" t="inlineStr">
        <is>
          <t>Tylopilus felleus</t>
        </is>
      </c>
      <c r="C69" s="0" t="inlineStr">
        <is>
          <t>Neužitna</t>
        </is>
      </c>
      <c r="D69" s="0" t="inlineStr">
        <is>
          <t>Jul – Okt</t>
        </is>
      </c>
      <c r="E69" s="0" t="inlineStr">
        <is>
          <t>12 – 20 °C</t>
        </is>
      </c>
      <c r="F69" s="0" t="inlineStr">
        <is>
          <t>Mešani gozdovi</t>
        </is>
      </c>
      <c r="G69" s="0" t="inlineStr">
        <is>
          <t>Mikoriza; v tleh</t>
        </is>
      </c>
      <c r="H69" s="0" t="inlineStr">
        <is>
          <t>Bogata humozna nevtralna tla (pH 6.0 - 7.0)</t>
        </is>
      </c>
      <c r="I69" s="0" t="inlineStr"/>
      <c r="J69" s="0" t="inlineStr">
        <is>
          <t>Značilen po gobah</t>
        </is>
      </c>
      <c r="K69" s="0" t="inlineStr">
        <is>
          <t>Ne spreminja barve</t>
        </is>
      </c>
      <c r="L69" s="0" t="inlineStr">
        <is>
          <t>STRUPENA / NEUŽITNA (Ne nabiraj za prehrano!)</t>
        </is>
      </c>
      <c r="M69" s="0" t="inlineStr">
        <is>
          <t>Vse višine</t>
        </is>
      </c>
      <c r="N69" s="0" t="inlineStr">
        <is>
          <t>Prisotna po celotni dolini</t>
        </is>
      </c>
      <c r="O69" s="0" t="inlineStr">
        <is>
          <t>Prehodna in široko razširjena območja (mešani gozdovi in hribovja širom doline)</t>
        </is>
      </c>
      <c r="P69" s="0" t="inlineStr">
        <is>
          <t>25-35</t>
        </is>
      </c>
      <c r="Q69" s="0" t="inlineStr">
        <is>
          <t>12-20</t>
        </is>
      </c>
      <c r="R69" s="0" t="inlineStr">
        <is>
          <t>Srednji</t>
        </is>
      </c>
    </row>
    <row r="70">
      <c r="A70" s="0" t="inlineStr">
        <is>
          <t>Gabrov ded</t>
        </is>
      </c>
      <c r="B70" s="0" t="inlineStr">
        <is>
          <t>Leccinum pseudoscabrum</t>
        </is>
      </c>
      <c r="C70" s="0" t="inlineStr">
        <is>
          <t>Užitna</t>
        </is>
      </c>
      <c r="D70" s="0" t="inlineStr">
        <is>
          <t>Jun – Okt</t>
        </is>
      </c>
      <c r="E70" s="0" t="inlineStr">
        <is>
          <t>15 – 24 °C</t>
        </is>
      </c>
      <c r="F70" s="0" t="inlineStr">
        <is>
          <t>Breza, gaber, trepetlika</t>
        </is>
      </c>
      <c r="G70" s="0" t="inlineStr">
        <is>
          <t>Mikoriza; v tleh</t>
        </is>
      </c>
      <c r="H70" s="0" t="inlineStr">
        <is>
          <t>Bogata humozna nevtralna tla (pH 6.0 - 7.0)</t>
        </is>
      </c>
      <c r="I70" s="0" t="inlineStr"/>
      <c r="J70" s="0" t="inlineStr">
        <is>
          <t>Izrazito prijeten vonj po gobah</t>
        </is>
      </c>
      <c r="K70" s="0" t="inlineStr">
        <is>
          <t>Meso hitro počrni ob prerezu</t>
        </is>
      </c>
      <c r="L70" s="0" t="inlineStr">
        <is>
          <t>Sveža priprava ali sušenje</t>
        </is>
      </c>
      <c r="M70" s="0" t="inlineStr">
        <is>
          <t>Vse višine</t>
        </is>
      </c>
      <c r="N70" s="0" t="inlineStr">
        <is>
          <t>Prisotna po celotni dolini</t>
        </is>
      </c>
      <c r="O70" s="0" t="inlineStr">
        <is>
          <t>Prehodna in široko razširjena območja (mešani gozdovi in hribovja širom doline)</t>
        </is>
      </c>
      <c r="P70" s="0" t="inlineStr">
        <is>
          <t>30-40</t>
        </is>
      </c>
      <c r="Q70" s="0" t="inlineStr">
        <is>
          <t>15-24</t>
        </is>
      </c>
      <c r="R70" s="0" t="inlineStr">
        <is>
          <t>Nizek (hitro se izsušijo)</t>
        </is>
      </c>
    </row>
    <row r="71">
      <c r="A71" s="0" t="inlineStr">
        <is>
          <t>Črni ded</t>
        </is>
      </c>
      <c r="B71" s="0" t="inlineStr">
        <is>
          <t>Leccinum melaneum</t>
        </is>
      </c>
      <c r="C71" s="0" t="inlineStr">
        <is>
          <t>Užitna</t>
        </is>
      </c>
      <c r="D71" s="0" t="inlineStr">
        <is>
          <t>Avg – Okt</t>
        </is>
      </c>
      <c r="E71" s="0" t="inlineStr">
        <is>
          <t>12 – 20 °C</t>
        </is>
      </c>
      <c r="F71" s="0" t="inlineStr">
        <is>
          <t>Breza, gaber, trepetlika</t>
        </is>
      </c>
      <c r="G71" s="0" t="inlineStr">
        <is>
          <t>Mikoriza; v tleh</t>
        </is>
      </c>
      <c r="H71" s="0" t="inlineStr">
        <is>
          <t>Bogata humozna nevtralna tla (pH 6.0 - 7.0)</t>
        </is>
      </c>
      <c r="I71" s="0" t="inlineStr"/>
      <c r="J71" s="0" t="inlineStr">
        <is>
          <t>Izrazito prijeten vonj po gobah</t>
        </is>
      </c>
      <c r="K71" s="0" t="inlineStr">
        <is>
          <t>Meso na prerezu rožnato posivi in sčasoma potemni</t>
        </is>
      </c>
      <c r="L71" s="0" t="inlineStr">
        <is>
          <t>Sveža priprava ali sušenje</t>
        </is>
      </c>
      <c r="M71" s="0" t="inlineStr">
        <is>
          <t>Vse višine</t>
        </is>
      </c>
      <c r="N71" s="0" t="inlineStr">
        <is>
          <t>Prisotna po celotni dolini</t>
        </is>
      </c>
      <c r="O71" s="0" t="inlineStr">
        <is>
          <t>Prehodna in široko razširjena območja (mešani gozdovi in hribovja širom doline)</t>
        </is>
      </c>
      <c r="P71" s="0" t="inlineStr">
        <is>
          <t>30-40</t>
        </is>
      </c>
      <c r="Q71" s="0" t="inlineStr">
        <is>
          <t>12-20</t>
        </is>
      </c>
      <c r="R71" s="0" t="inlineStr">
        <is>
          <t>Nizek (hitro se izsušijo)</t>
        </is>
      </c>
    </row>
    <row r="72">
      <c r="A72" s="0" t="inlineStr">
        <is>
          <t>Žafranasti ded</t>
        </is>
      </c>
      <c r="B72" s="0" t="inlineStr">
        <is>
          <t>Leccinum crocipodium</t>
        </is>
      </c>
      <c r="C72" s="0" t="inlineStr">
        <is>
          <t>Užitna</t>
        </is>
      </c>
      <c r="D72" s="0" t="inlineStr">
        <is>
          <t>Jun – Okt</t>
        </is>
      </c>
      <c r="E72" s="0" t="inlineStr">
        <is>
          <t>15 – 24 °C</t>
        </is>
      </c>
      <c r="F72" s="0" t="inlineStr">
        <is>
          <t>Breza, gaber, trepetlika</t>
        </is>
      </c>
      <c r="G72" s="0" t="inlineStr">
        <is>
          <t>Mikoriza; v tleh</t>
        </is>
      </c>
      <c r="H72" s="0" t="inlineStr">
        <is>
          <t>Bogata humozna nevtralna tla (pH 6.0 - 7.0)</t>
        </is>
      </c>
      <c r="I72" s="0" t="inlineStr"/>
      <c r="J72" s="0" t="inlineStr">
        <is>
          <t>Izrazito prijeten vonj po gobah</t>
        </is>
      </c>
      <c r="K72" s="0" t="inlineStr">
        <is>
          <t>Meso hitro počrni ob prerezu</t>
        </is>
      </c>
      <c r="L72" s="0" t="inlineStr">
        <is>
          <t>Sveža priprava ali sušenje</t>
        </is>
      </c>
      <c r="M72" s="0" t="inlineStr">
        <is>
          <t>Vse višine</t>
        </is>
      </c>
      <c r="N72" s="0" t="inlineStr">
        <is>
          <t>Prisotna po celotni dolini</t>
        </is>
      </c>
      <c r="O72" s="0" t="inlineStr">
        <is>
          <t>Prehodna in široko razširjena območja (mešani gozdovi in hribovja širom doline)</t>
        </is>
      </c>
      <c r="P72" s="0" t="inlineStr">
        <is>
          <t>30-40</t>
        </is>
      </c>
      <c r="Q72" s="0" t="inlineStr">
        <is>
          <t>15-24</t>
        </is>
      </c>
      <c r="R72" s="0" t="inlineStr">
        <is>
          <t>Nizek (hitro se izsušijo)</t>
        </is>
      </c>
    </row>
    <row r="73">
      <c r="A73" s="0" t="inlineStr">
        <is>
          <t>Rjavi turek</t>
        </is>
      </c>
      <c r="B73" s="0" t="inlineStr">
        <is>
          <t>Leccinum duriusculum</t>
        </is>
      </c>
      <c r="C73" s="0" t="inlineStr">
        <is>
          <t>Užitna</t>
        </is>
      </c>
      <c r="D73" s="0" t="inlineStr">
        <is>
          <t>Avg – Okt</t>
        </is>
      </c>
      <c r="E73" s="0" t="inlineStr">
        <is>
          <t>12 – 20 °C</t>
        </is>
      </c>
      <c r="F73" s="0" t="inlineStr">
        <is>
          <t>Breza, gaber, trepetlika</t>
        </is>
      </c>
      <c r="G73" s="0" t="inlineStr">
        <is>
          <t>Mikoriza; v tleh</t>
        </is>
      </c>
      <c r="H73" s="0" t="inlineStr">
        <is>
          <t>Bogata humozna nevtralna tla (pH 6.0 - 7.0)</t>
        </is>
      </c>
      <c r="I73" s="0" t="inlineStr"/>
      <c r="J73" s="0" t="inlineStr">
        <is>
          <t>Izrazito prijeten vonj po gobah</t>
        </is>
      </c>
      <c r="K73" s="0" t="inlineStr">
        <is>
          <t>Meso na prerezu rožnato posivi in sčasoma potemni</t>
        </is>
      </c>
      <c r="L73" s="0" t="inlineStr">
        <is>
          <t>Sveža priprava ali sušenje</t>
        </is>
      </c>
      <c r="M73" s="0" t="inlineStr">
        <is>
          <t>Vse višine</t>
        </is>
      </c>
      <c r="N73" s="0" t="inlineStr">
        <is>
          <t>Prisotna po celotni dolini</t>
        </is>
      </c>
      <c r="O73" s="0" t="inlineStr">
        <is>
          <t>Prehodna in široko razširjena območja (mešani gozdovi in hribovja širom doline)</t>
        </is>
      </c>
      <c r="P73" s="0" t="inlineStr">
        <is>
          <t>30-40</t>
        </is>
      </c>
      <c r="Q73" s="0" t="inlineStr">
        <is>
          <t>12-20</t>
        </is>
      </c>
      <c r="R73" s="0" t="inlineStr">
        <is>
          <t>Nizek (hitro se izsušijo)</t>
        </is>
      </c>
    </row>
    <row r="74">
      <c r="A74" s="0" t="inlineStr">
        <is>
          <t>Topolov turek</t>
        </is>
      </c>
      <c r="B74" s="0" t="inlineStr">
        <is>
          <t>Leccinum populinum</t>
        </is>
      </c>
      <c r="C74" s="0" t="inlineStr">
        <is>
          <t>Užitna</t>
        </is>
      </c>
      <c r="D74" s="0" t="inlineStr">
        <is>
          <t>Jul – Okt</t>
        </is>
      </c>
      <c r="E74" s="0" t="inlineStr">
        <is>
          <t>14 – 22 °C</t>
        </is>
      </c>
      <c r="F74" s="0" t="inlineStr">
        <is>
          <t>Breza, gaber, trepetlika</t>
        </is>
      </c>
      <c r="G74" s="0" t="inlineStr">
        <is>
          <t>Mikoriza; v tleh</t>
        </is>
      </c>
      <c r="H74" s="0" t="inlineStr">
        <is>
          <t>Bogata humozna nevtralna tla (pH 6.0 - 7.0)</t>
        </is>
      </c>
      <c r="I74" s="0" t="inlineStr"/>
      <c r="J74" s="0" t="inlineStr">
        <is>
          <t>Izrazito prijeten vonj po gobah</t>
        </is>
      </c>
      <c r="K74" s="0" t="inlineStr">
        <is>
          <t>Meso najprej pordeči ali postane vijolično, nato močno počrni!</t>
        </is>
      </c>
      <c r="L74" s="0" t="inlineStr">
        <is>
          <t>Obvezno kuhanje. Obarva jed temno/črno.</t>
        </is>
      </c>
      <c r="M74" s="0" t="inlineStr">
        <is>
          <t>Vse višine</t>
        </is>
      </c>
      <c r="N74" s="0" t="inlineStr">
        <is>
          <t>Prisotna po celotni dolini</t>
        </is>
      </c>
      <c r="O74" s="0" t="inlineStr">
        <is>
          <t>Prehodna in široko razširjena območja (mešani gozdovi in hribovja širom doline)</t>
        </is>
      </c>
      <c r="P74" s="0" t="inlineStr">
        <is>
          <t>30-40</t>
        </is>
      </c>
      <c r="Q74" s="0" t="inlineStr">
        <is>
          <t>14-22</t>
        </is>
      </c>
      <c r="R74" s="0" t="inlineStr">
        <is>
          <t>Nizek (hitro se izsušijo)</t>
        </is>
      </c>
    </row>
    <row r="75">
      <c r="A75" s="0" t="inlineStr">
        <is>
          <t>Lisičja mraznica</t>
        </is>
      </c>
      <c r="B75" s="0" t="inlineStr">
        <is>
          <t>Armillaria tabescens</t>
        </is>
      </c>
      <c r="C75" s="0" t="inlineStr">
        <is>
          <t>Pogojno užitna</t>
        </is>
      </c>
      <c r="D75" s="0" t="inlineStr">
        <is>
          <t>Avg – Okt</t>
        </is>
      </c>
      <c r="E75" s="0" t="inlineStr">
        <is>
          <t>12 – 22 °C</t>
        </is>
      </c>
      <c r="F75" s="0" t="inlineStr">
        <is>
          <t>Mešani gozdovi</t>
        </is>
      </c>
      <c r="G75" s="0" t="inlineStr">
        <is>
          <t>Mikoriza; v tleh</t>
        </is>
      </c>
      <c r="H75" s="0" t="inlineStr">
        <is>
          <t>Bogata humozna nevtralna tla (pH 6.0 - 7.0)</t>
        </is>
      </c>
      <c r="I75" s="0" t="inlineStr"/>
      <c r="J75" s="0" t="inlineStr">
        <is>
          <t>Trpek, lesni vonj</t>
        </is>
      </c>
      <c r="K75" s="0" t="inlineStr">
        <is>
          <t>Meso belkasto</t>
        </is>
      </c>
      <c r="L75" s="0" t="inlineStr">
        <is>
          <t>Sveža priprava ali sušenje</t>
        </is>
      </c>
      <c r="M75" s="0" t="inlineStr">
        <is>
          <t>Vse višine</t>
        </is>
      </c>
      <c r="N75" s="0" t="inlineStr">
        <is>
          <t>Prisotna po celotni dolini</t>
        </is>
      </c>
      <c r="O75" s="0" t="inlineStr">
        <is>
          <t>Prehodna in široko razširjena območja (mešani gozdovi in hribovja širom doline)</t>
        </is>
      </c>
      <c r="P75" s="0" t="inlineStr">
        <is>
          <t>25-35</t>
        </is>
      </c>
      <c r="Q75" s="0" t="inlineStr">
        <is>
          <t>12-20</t>
        </is>
      </c>
      <c r="R75" s="0" t="inlineStr">
        <is>
          <t>Srednji</t>
        </is>
      </c>
    </row>
    <row r="76">
      <c r="A76" s="0" t="inlineStr">
        <is>
          <t>Borova gliva</t>
        </is>
      </c>
      <c r="B76" s="0" t="inlineStr">
        <is>
          <t>Sparassis crispa</t>
        </is>
      </c>
      <c r="C76" s="0" t="inlineStr">
        <is>
          <t>Užitna</t>
        </is>
      </c>
      <c r="D76" s="0" t="inlineStr">
        <is>
          <t>Avg – Nov</t>
        </is>
      </c>
      <c r="E76" s="0" t="inlineStr">
        <is>
          <t>10 – 18 °C</t>
        </is>
      </c>
      <c r="F76" s="0" t="inlineStr">
        <is>
          <t>Mešani gozdovi</t>
        </is>
      </c>
      <c r="G76" s="0" t="inlineStr">
        <is>
          <t>Mikoriza; v tleh</t>
        </is>
      </c>
      <c r="H76" s="0" t="inlineStr">
        <is>
          <t>Bogata humozna nevtralna tla (pH 6.0 - 7.0)</t>
        </is>
      </c>
      <c r="I76" s="0" t="inlineStr"/>
      <c r="J76" s="0" t="inlineStr">
        <is>
          <t>Aromatičen, spominja na orehe in smolo</t>
        </is>
      </c>
      <c r="K76" s="0" t="inlineStr">
        <is>
          <t>Krhko, ne spreminja barve</t>
        </is>
      </c>
      <c r="L76" s="0" t="inlineStr">
        <is>
          <t>Odlična za juhe. Zelo težko jo je očistiti (igle in pesek).</t>
        </is>
      </c>
      <c r="M76" s="0" t="inlineStr">
        <is>
          <t>Vse višine</t>
        </is>
      </c>
      <c r="N76" s="0" t="inlineStr">
        <is>
          <t>Prisotna po celotni dolini</t>
        </is>
      </c>
      <c r="O76" s="0" t="inlineStr">
        <is>
          <t>Prehodna in široko razširjena območja (mešani gozdovi in hribovja širom doline)</t>
        </is>
      </c>
      <c r="P76" s="0" t="inlineStr">
        <is>
          <t>35-45</t>
        </is>
      </c>
      <c r="Q76" s="0" t="inlineStr">
        <is>
          <t>12-20</t>
        </is>
      </c>
      <c r="R76" s="0" t="inlineStr">
        <is>
          <t>Nizek</t>
        </is>
      </c>
    </row>
    <row r="77">
      <c r="A77" s="0" t="inlineStr">
        <is>
          <t>Rjavkasta golobica</t>
        </is>
      </c>
      <c r="B77" s="0" t="inlineStr">
        <is>
          <t>Russula mustelina</t>
        </is>
      </c>
      <c r="C77" s="0" t="inlineStr">
        <is>
          <t>Užitna</t>
        </is>
      </c>
      <c r="D77" s="0" t="inlineStr">
        <is>
          <t>Jul – Okt</t>
        </is>
      </c>
      <c r="E77" s="0" t="inlineStr">
        <is>
          <t>12 – 20 °C</t>
        </is>
      </c>
      <c r="F77" s="0" t="inlineStr">
        <is>
          <t>Mešani gozdovi</t>
        </is>
      </c>
      <c r="G77" s="0" t="inlineStr">
        <is>
          <t>Mikoriza; v tleh</t>
        </is>
      </c>
      <c r="H77" s="0" t="inlineStr">
        <is>
          <t>Bogata humozna nevtralna tla (pH 6.0 - 7.0)</t>
        </is>
      </c>
      <c r="I77" s="0" t="inlineStr">
        <is>
          <t>Druge golobice (pekoče so strupene)</t>
        </is>
      </c>
      <c r="J77" s="0" t="inlineStr">
        <is>
          <t>Značilen po gobah</t>
        </is>
      </c>
      <c r="K77" s="0" t="inlineStr">
        <is>
          <t>Meso je krhko (kredasto), izjemno belo, ne spreminja barve (razen črnikaste)</t>
        </is>
      </c>
      <c r="L77" s="0" t="inlineStr">
        <is>
          <t>Sveža priprava ali sušenje</t>
        </is>
      </c>
      <c r="M77" s="0" t="inlineStr">
        <is>
          <t>Vse višine</t>
        </is>
      </c>
      <c r="N77" s="0" t="inlineStr">
        <is>
          <t>Prisotna po celotni dolini</t>
        </is>
      </c>
      <c r="O77" s="0" t="inlineStr">
        <is>
          <t>Prehodna in široko razširjena območja (mešani gozdovi in hribovja širom doline)</t>
        </is>
      </c>
      <c r="P77" s="0" t="inlineStr">
        <is>
          <t>20-30</t>
        </is>
      </c>
      <c r="Q77" s="0" t="inlineStr">
        <is>
          <t>12-20</t>
        </is>
      </c>
      <c r="R77" s="0" t="inlineStr">
        <is>
          <t>Visok (občutljive na veter)</t>
        </is>
      </c>
    </row>
    <row r="78">
      <c r="A78" s="0" t="inlineStr">
        <is>
          <t>Črnikasta golobica</t>
        </is>
      </c>
      <c r="B78" s="0" t="inlineStr">
        <is>
          <t>Russula nigricans</t>
        </is>
      </c>
      <c r="C78" s="0" t="inlineStr">
        <is>
          <t>Pogojno užitna</t>
        </is>
      </c>
      <c r="D78" s="0" t="inlineStr">
        <is>
          <t>Jul – Okt</t>
        </is>
      </c>
      <c r="E78" s="0" t="inlineStr">
        <is>
          <t>14 – 24 °C</t>
        </is>
      </c>
      <c r="F78" s="0" t="inlineStr">
        <is>
          <t>Mešani gozdovi</t>
        </is>
      </c>
      <c r="G78" s="0" t="inlineStr">
        <is>
          <t>Mikoriza; v tleh</t>
        </is>
      </c>
      <c r="H78" s="0" t="inlineStr">
        <is>
          <t>Bogata humozna nevtralna tla (pH 6.0 - 7.0)</t>
        </is>
      </c>
      <c r="I78" s="0" t="inlineStr">
        <is>
          <t>Druge golobice (pekoče so strupene)</t>
        </is>
      </c>
      <c r="J78" s="0" t="inlineStr">
        <is>
          <t>Rahel saden vonj</t>
        </is>
      </c>
      <c r="K78" s="0" t="inlineStr">
        <is>
          <t>Meso na zraku takoj močno pordeči, nato popolnoma počrni.</t>
        </is>
      </c>
      <c r="L78" s="0" t="inlineStr">
        <is>
          <t>Sveža priprava ali sušenje</t>
        </is>
      </c>
      <c r="M78" s="0" t="inlineStr">
        <is>
          <t>Vse višine</t>
        </is>
      </c>
      <c r="N78" s="0" t="inlineStr">
        <is>
          <t>Prisotna po celotni dolini</t>
        </is>
      </c>
      <c r="O78" s="0" t="inlineStr">
        <is>
          <t>Prehodna in široko razširjena območja (mešani gozdovi in hribovja širom doline)</t>
        </is>
      </c>
      <c r="P78" s="0" t="inlineStr">
        <is>
          <t>20-30</t>
        </is>
      </c>
      <c r="Q78" s="0" t="inlineStr">
        <is>
          <t>14-24</t>
        </is>
      </c>
      <c r="R78" s="0" t="inlineStr">
        <is>
          <t>Visok (občutljive na veter)</t>
        </is>
      </c>
    </row>
    <row r="79">
      <c r="A79" s="0" t="inlineStr">
        <is>
          <t>Smrdljiva golobica</t>
        </is>
      </c>
      <c r="B79" s="0" t="inlineStr">
        <is>
          <t>Russula foetens</t>
        </is>
      </c>
      <c r="C79" s="0" t="inlineStr">
        <is>
          <t>Neužitna</t>
        </is>
      </c>
      <c r="D79" s="0" t="inlineStr">
        <is>
          <t>Jul – Nov</t>
        </is>
      </c>
      <c r="E79" s="0" t="inlineStr">
        <is>
          <t>15 – 25 °C</t>
        </is>
      </c>
      <c r="F79" s="0" t="inlineStr">
        <is>
          <t>Mešani gozdovi</t>
        </is>
      </c>
      <c r="G79" s="0" t="inlineStr">
        <is>
          <t>Mikoriza; v tleh</t>
        </is>
      </c>
      <c r="H79" s="0" t="inlineStr">
        <is>
          <t>Bogata humozna nevtralna tla (pH 6.0 - 7.0)</t>
        </is>
      </c>
      <c r="I79" s="0" t="inlineStr">
        <is>
          <t>Druge golobice (pekoče so strupene)</t>
        </is>
      </c>
      <c r="J79" s="0" t="inlineStr">
        <is>
          <t>Zelo neprijeten, smrdi po mandljih in zažganem rogu</t>
        </is>
      </c>
      <c r="K79" s="0" t="inlineStr">
        <is>
          <t>Meso rjavi</t>
        </is>
      </c>
      <c r="L79" s="0" t="inlineStr">
        <is>
          <t>STRUPENA / NEUŽITNA (Ne nabiraj za prehrano!)</t>
        </is>
      </c>
      <c r="M79" s="0" t="inlineStr">
        <is>
          <t>Vse višine</t>
        </is>
      </c>
      <c r="N79" s="0" t="inlineStr">
        <is>
          <t>Prisotna po celotni dolini</t>
        </is>
      </c>
      <c r="O79" s="0" t="inlineStr">
        <is>
          <t>Prehodna in široko razširjena območja (mešani gozdovi in hribovja širom doline)</t>
        </is>
      </c>
      <c r="P79" s="0" t="inlineStr">
        <is>
          <t>20-30</t>
        </is>
      </c>
      <c r="Q79" s="0" t="inlineStr">
        <is>
          <t>15-25</t>
        </is>
      </c>
      <c r="R79" s="0" t="inlineStr">
        <is>
          <t>Visok (občutljive na veter)</t>
        </is>
      </c>
    </row>
    <row r="80">
      <c r="A80" s="0" t="inlineStr">
        <is>
          <t>Zlatolistna golobica</t>
        </is>
      </c>
      <c r="B80" s="0" t="inlineStr">
        <is>
          <t>Russula aurea</t>
        </is>
      </c>
      <c r="C80" s="0" t="inlineStr">
        <is>
          <t>Užitna</t>
        </is>
      </c>
      <c r="D80" s="0" t="inlineStr">
        <is>
          <t>Jul – Sep</t>
        </is>
      </c>
      <c r="E80" s="0" t="inlineStr">
        <is>
          <t>16 – 26 °C</t>
        </is>
      </c>
      <c r="F80" s="0" t="inlineStr">
        <is>
          <t>Mešani gozdovi</t>
        </is>
      </c>
      <c r="G80" s="0" t="inlineStr">
        <is>
          <t>Mikoriza; v tleh</t>
        </is>
      </c>
      <c r="H80" s="0" t="inlineStr">
        <is>
          <t>Bogata humozna nevtralna tla (pH 6.0 - 7.0)</t>
        </is>
      </c>
      <c r="I80" s="0" t="inlineStr">
        <is>
          <t>Druge golobice (pekoče so strupene)</t>
        </is>
      </c>
      <c r="J80" s="0" t="inlineStr">
        <is>
          <t>Prijeten, po lešnikih ali sadju</t>
        </is>
      </c>
      <c r="K80" s="0" t="inlineStr">
        <is>
          <t>Meso je krhko (kredasto), izjemno belo, ne spreminja barve (razen črnikaste)</t>
        </is>
      </c>
      <c r="L80" s="0" t="inlineStr">
        <is>
          <t>Odlična hitro pečena. Zelo krhka za transport.</t>
        </is>
      </c>
      <c r="M80" s="0" t="inlineStr">
        <is>
          <t>Vse višine</t>
        </is>
      </c>
      <c r="N80" s="0" t="inlineStr">
        <is>
          <t>Prisotna po celotni dolini</t>
        </is>
      </c>
      <c r="O80" s="0" t="inlineStr">
        <is>
          <t>Prehodna in široko razširjena območja (mešani gozdovi in hribovja širom doline)</t>
        </is>
      </c>
      <c r="P80" s="0" t="inlineStr">
        <is>
          <t>20-30</t>
        </is>
      </c>
      <c r="Q80" s="0" t="inlineStr">
        <is>
          <t>16-26</t>
        </is>
      </c>
      <c r="R80" s="0" t="inlineStr">
        <is>
          <t>Visok (občutljive na veter)</t>
        </is>
      </c>
    </row>
    <row r="81">
      <c r="A81" s="0" t="inlineStr">
        <is>
          <t>Lešnikova golobica</t>
        </is>
      </c>
      <c r="B81" s="0" t="inlineStr">
        <is>
          <t>Russula heterophylla</t>
        </is>
      </c>
      <c r="C81" s="0" t="inlineStr">
        <is>
          <t>Užitna</t>
        </is>
      </c>
      <c r="D81" s="0" t="inlineStr">
        <is>
          <t>Jul – Okt</t>
        </is>
      </c>
      <c r="E81" s="0" t="inlineStr">
        <is>
          <t>14 – 22 °C</t>
        </is>
      </c>
      <c r="F81" s="0" t="inlineStr">
        <is>
          <t>Mešani gozdovi</t>
        </is>
      </c>
      <c r="G81" s="0" t="inlineStr">
        <is>
          <t>Mikoriza; v tleh</t>
        </is>
      </c>
      <c r="H81" s="0" t="inlineStr">
        <is>
          <t>Bogata humozna nevtralna tla (pH 6.0 - 7.0)</t>
        </is>
      </c>
      <c r="I81" s="0" t="inlineStr">
        <is>
          <t>Druge golobice (pekoče so strupene)</t>
        </is>
      </c>
      <c r="J81" s="0" t="inlineStr">
        <is>
          <t>Blag, po orehih</t>
        </is>
      </c>
      <c r="K81" s="0" t="inlineStr">
        <is>
          <t>Meso je krhko (kredasto), izjemno belo, ne spreminja barve (razen črnikaste)</t>
        </is>
      </c>
      <c r="L81" s="0" t="inlineStr">
        <is>
          <t>Sveža priprava ali sušenje</t>
        </is>
      </c>
      <c r="M81" s="0" t="inlineStr">
        <is>
          <t>Vse višine</t>
        </is>
      </c>
      <c r="N81" s="0" t="inlineStr">
        <is>
          <t>Prisotna po celotni dolini</t>
        </is>
      </c>
      <c r="O81" s="0" t="inlineStr">
        <is>
          <t>Prehodna in široko razširjena območja (mešani gozdovi in hribovja širom doline)</t>
        </is>
      </c>
      <c r="P81" s="0" t="inlineStr">
        <is>
          <t>20-30</t>
        </is>
      </c>
      <c r="Q81" s="0" t="inlineStr">
        <is>
          <t>14-22</t>
        </is>
      </c>
      <c r="R81" s="0" t="inlineStr">
        <is>
          <t>Visok (občutljive na veter)</t>
        </is>
      </c>
    </row>
    <row r="82">
      <c r="A82" s="0" t="inlineStr">
        <is>
          <t>Trda golobica</t>
        </is>
      </c>
      <c r="B82" s="0" t="inlineStr">
        <is>
          <t>Russula lepida</t>
        </is>
      </c>
      <c r="C82" s="0" t="inlineStr">
        <is>
          <t>Neužitna</t>
        </is>
      </c>
      <c r="D82" s="0" t="inlineStr">
        <is>
          <t>Jul – Okt</t>
        </is>
      </c>
      <c r="E82" s="0" t="inlineStr">
        <is>
          <t>12 – 20 °C</t>
        </is>
      </c>
      <c r="F82" s="0" t="inlineStr">
        <is>
          <t>Mešani gozdovi</t>
        </is>
      </c>
      <c r="G82" s="0" t="inlineStr">
        <is>
          <t>Mikoriza; v tleh</t>
        </is>
      </c>
      <c r="H82" s="0" t="inlineStr">
        <is>
          <t>Bogata humozna nevtralna tla (pH 6.0 - 7.0)</t>
        </is>
      </c>
      <c r="I82" s="0" t="inlineStr">
        <is>
          <t>Druge golobice (pekoče so strupene)</t>
        </is>
      </c>
      <c r="J82" s="0" t="inlineStr">
        <is>
          <t>Po mentolu ali cedrovini</t>
        </is>
      </c>
      <c r="K82" s="0" t="inlineStr">
        <is>
          <t>Zelo trdo meso (kot les)</t>
        </is>
      </c>
      <c r="L82" s="0" t="inlineStr">
        <is>
          <t>STRUPENA / NEUŽITNA (Ne nabiraj za prehrano!)</t>
        </is>
      </c>
      <c r="M82" s="0" t="inlineStr">
        <is>
          <t>Vse višine</t>
        </is>
      </c>
      <c r="N82" s="0" t="inlineStr">
        <is>
          <t>Prisotna po celotni dolini</t>
        </is>
      </c>
      <c r="O82" s="0" t="inlineStr">
        <is>
          <t>Prehodna in široko razširjena območja (mešani gozdovi in hribovja širom doline)</t>
        </is>
      </c>
      <c r="P82" s="0" t="inlineStr">
        <is>
          <t>20-30</t>
        </is>
      </c>
      <c r="Q82" s="0" t="inlineStr">
        <is>
          <t>12-20</t>
        </is>
      </c>
      <c r="R82" s="0" t="inlineStr">
        <is>
          <t>Visok (občutljive na veter)</t>
        </is>
      </c>
    </row>
    <row r="83">
      <c r="A83" s="0" t="inlineStr">
        <is>
          <t>Krhka golobica</t>
        </is>
      </c>
      <c r="B83" s="0" t="inlineStr">
        <is>
          <t>Russula fragilis</t>
        </is>
      </c>
      <c r="C83" s="0" t="inlineStr">
        <is>
          <t>Strupena</t>
        </is>
      </c>
      <c r="D83" s="0" t="inlineStr">
        <is>
          <t>Jul – Okt</t>
        </is>
      </c>
      <c r="E83" s="0" t="inlineStr">
        <is>
          <t>12 – 20 °C</t>
        </is>
      </c>
      <c r="F83" s="0" t="inlineStr">
        <is>
          <t>Mešani gozdovi</t>
        </is>
      </c>
      <c r="G83" s="0" t="inlineStr">
        <is>
          <t>Mikoriza; v tleh</t>
        </is>
      </c>
      <c r="H83" s="0" t="inlineStr">
        <is>
          <t>Bogata humozna nevtralna tla (pH 6.0 - 7.0)</t>
        </is>
      </c>
      <c r="I83" s="0" t="inlineStr">
        <is>
          <t>Druge golobice (pekoče so strupene)</t>
        </is>
      </c>
      <c r="J83" s="0" t="inlineStr">
        <is>
          <t>Saden vonj, vendar okus takoj izjemno peče (čili)</t>
        </is>
      </c>
      <c r="K83" s="0" t="inlineStr">
        <is>
          <t>Meso je krhko (kredasto), izjemno belo, ne spreminja barve (razen črnikaste)</t>
        </is>
      </c>
      <c r="L83" s="0" t="inlineStr">
        <is>
          <t>STRUPENA / NEUŽITNA (Ne nabiraj za prehrano!)</t>
        </is>
      </c>
      <c r="M83" s="0" t="inlineStr">
        <is>
          <t>Vse višine</t>
        </is>
      </c>
      <c r="N83" s="0" t="inlineStr">
        <is>
          <t>Prisotna po celotni dolini</t>
        </is>
      </c>
      <c r="O83" s="0" t="inlineStr">
        <is>
          <t>Prehodna in široko razširjena območja (mešani gozdovi in hribovja širom doline)</t>
        </is>
      </c>
      <c r="P83" s="0" t="inlineStr">
        <is>
          <t>20-30</t>
        </is>
      </c>
      <c r="Q83" s="0" t="inlineStr">
        <is>
          <t>12-20</t>
        </is>
      </c>
      <c r="R83" s="0" t="inlineStr">
        <is>
          <t>Visok (občutljive na veter)</t>
        </is>
      </c>
    </row>
    <row r="84">
      <c r="A84" s="0" t="inlineStr">
        <is>
          <t>Sivozelena golobica</t>
        </is>
      </c>
      <c r="B84" s="0" t="inlineStr">
        <is>
          <t>Russula aeruginea</t>
        </is>
      </c>
      <c r="C84" s="0" t="inlineStr">
        <is>
          <t>Užitna</t>
        </is>
      </c>
      <c r="D84" s="0" t="inlineStr">
        <is>
          <t>Jul – Okt</t>
        </is>
      </c>
      <c r="E84" s="0" t="inlineStr">
        <is>
          <t>14 – 22 °C</t>
        </is>
      </c>
      <c r="F84" s="0" t="inlineStr">
        <is>
          <t>Mešani gozdovi</t>
        </is>
      </c>
      <c r="G84" s="0" t="inlineStr">
        <is>
          <t>Mikoriza; v tleh</t>
        </is>
      </c>
      <c r="H84" s="0" t="inlineStr">
        <is>
          <t>Bogata humozna nevtralna tla (pH 6.0 - 7.0)</t>
        </is>
      </c>
      <c r="I84" s="0" t="inlineStr">
        <is>
          <t>Druge golobice (pekoče so strupene)</t>
        </is>
      </c>
      <c r="J84" s="0" t="inlineStr">
        <is>
          <t>Blag, po orehih</t>
        </is>
      </c>
      <c r="K84" s="0" t="inlineStr">
        <is>
          <t>Meso je krhko (kredasto), izjemno belo, ne spreminja barve (razen črnikaste)</t>
        </is>
      </c>
      <c r="L84" s="0" t="inlineStr">
        <is>
          <t>Sveža priprava ali sušenje</t>
        </is>
      </c>
      <c r="M84" s="0" t="inlineStr">
        <is>
          <t>Vse višine</t>
        </is>
      </c>
      <c r="N84" s="0" t="inlineStr">
        <is>
          <t>Prisotna po celotni dolini</t>
        </is>
      </c>
      <c r="O84" s="0" t="inlineStr">
        <is>
          <t>Prehodna in široko razširjena območja (mešani gozdovi in hribovja širom doline)</t>
        </is>
      </c>
      <c r="P84" s="0" t="inlineStr">
        <is>
          <t>20-30</t>
        </is>
      </c>
      <c r="Q84" s="0" t="inlineStr">
        <is>
          <t>14-22</t>
        </is>
      </c>
      <c r="R84" s="0" t="inlineStr">
        <is>
          <t>Visok (občutljive na veter)</t>
        </is>
      </c>
    </row>
    <row r="85">
      <c r="A85" s="0" t="inlineStr">
        <is>
          <t>Malinova golobica</t>
        </is>
      </c>
      <c r="B85" s="0" t="inlineStr">
        <is>
          <t>Russula romellii</t>
        </is>
      </c>
      <c r="C85" s="0" t="inlineStr">
        <is>
          <t>Užitna</t>
        </is>
      </c>
      <c r="D85" s="0" t="inlineStr">
        <is>
          <t>Jul – Sep</t>
        </is>
      </c>
      <c r="E85" s="0" t="inlineStr">
        <is>
          <t>16 – 26 °C</t>
        </is>
      </c>
      <c r="F85" s="0" t="inlineStr">
        <is>
          <t>Mešani gozdovi</t>
        </is>
      </c>
      <c r="G85" s="0" t="inlineStr">
        <is>
          <t>Mikoriza; v tleh</t>
        </is>
      </c>
      <c r="H85" s="0" t="inlineStr">
        <is>
          <t>Bogata humozna nevtralna tla (pH 6.0 - 7.0)</t>
        </is>
      </c>
      <c r="I85" s="0" t="inlineStr">
        <is>
          <t>Druge golobice (pekoče so strupene)</t>
        </is>
      </c>
      <c r="J85" s="0" t="inlineStr">
        <is>
          <t>Prijeten, po lešnikih ali sadju</t>
        </is>
      </c>
      <c r="K85" s="0" t="inlineStr">
        <is>
          <t>Meso je krhko (kredasto), izjemno belo, ne spreminja barve (razen črnikaste)</t>
        </is>
      </c>
      <c r="L85" s="0" t="inlineStr">
        <is>
          <t>Odlična hitro pečena. Zelo krhka za transport.</t>
        </is>
      </c>
      <c r="M85" s="0" t="inlineStr">
        <is>
          <t>Vse višine</t>
        </is>
      </c>
      <c r="N85" s="0" t="inlineStr">
        <is>
          <t>Prisotna po celotni dolini</t>
        </is>
      </c>
      <c r="O85" s="0" t="inlineStr">
        <is>
          <t>Prehodna in široko razširjena območja (mešani gozdovi in hribovja širom doline)</t>
        </is>
      </c>
      <c r="P85" s="0" t="inlineStr">
        <is>
          <t>20-30</t>
        </is>
      </c>
      <c r="Q85" s="0" t="inlineStr">
        <is>
          <t>16-26</t>
        </is>
      </c>
      <c r="R85" s="0" t="inlineStr">
        <is>
          <t>Visok (občutljive na veter)</t>
        </is>
      </c>
    </row>
    <row r="86">
      <c r="A86" s="0" t="inlineStr">
        <is>
          <t>Češnjeva golobica</t>
        </is>
      </c>
      <c r="B86" s="0" t="inlineStr">
        <is>
          <t>Russula sanguinaria</t>
        </is>
      </c>
      <c r="C86" s="0" t="inlineStr">
        <is>
          <t>Neužitna</t>
        </is>
      </c>
      <c r="D86" s="0" t="inlineStr">
        <is>
          <t>Jul – Okt</t>
        </is>
      </c>
      <c r="E86" s="0" t="inlineStr">
        <is>
          <t>12 – 20 °C</t>
        </is>
      </c>
      <c r="F86" s="0" t="inlineStr">
        <is>
          <t>Mešani gozdovi</t>
        </is>
      </c>
      <c r="G86" s="0" t="inlineStr">
        <is>
          <t>Mikoriza; v tleh</t>
        </is>
      </c>
      <c r="H86" s="0" t="inlineStr">
        <is>
          <t>Bogata humozna nevtralna tla (pH 6.0 - 7.0)</t>
        </is>
      </c>
      <c r="I86" s="0" t="inlineStr">
        <is>
          <t>Druge golobice (pekoče so strupene)</t>
        </is>
      </c>
      <c r="J86" s="0" t="inlineStr">
        <is>
          <t>Saden vonj, vendar okus takoj izjemno peče (čili)</t>
        </is>
      </c>
      <c r="K86" s="0" t="inlineStr">
        <is>
          <t>Meso je krhko (kredasto), izjemno belo, ne spreminja barve (razen črnikaste)</t>
        </is>
      </c>
      <c r="L86" s="0" t="inlineStr">
        <is>
          <t>STRUPENA / NEUŽITNA (Ne nabiraj za prehrano!)</t>
        </is>
      </c>
      <c r="M86" s="0" t="inlineStr">
        <is>
          <t>Vse višine</t>
        </is>
      </c>
      <c r="N86" s="0" t="inlineStr">
        <is>
          <t>Prisotna po celotni dolini</t>
        </is>
      </c>
      <c r="O86" s="0" t="inlineStr">
        <is>
          <t>Prehodna in široko razširjena območja (mešani gozdovi in hribovja širom doline)</t>
        </is>
      </c>
      <c r="P86" s="0" t="inlineStr">
        <is>
          <t>20-30</t>
        </is>
      </c>
      <c r="Q86" s="0" t="inlineStr">
        <is>
          <t>12-20</t>
        </is>
      </c>
      <c r="R86" s="0" t="inlineStr">
        <is>
          <t>Visok (občutljive na veter)</t>
        </is>
      </c>
    </row>
    <row r="87">
      <c r="A87" s="0" t="inlineStr">
        <is>
          <t>Sočna mlečnica</t>
        </is>
      </c>
      <c r="B87" s="0" t="inlineStr">
        <is>
          <t>Lactifluus volemus</t>
        </is>
      </c>
      <c r="C87" s="0" t="inlineStr">
        <is>
          <t>Užitna</t>
        </is>
      </c>
      <c r="D87" s="0" t="inlineStr">
        <is>
          <t>Jul – Okt</t>
        </is>
      </c>
      <c r="E87" s="0" t="inlineStr">
        <is>
          <t>12 – 20 °C</t>
        </is>
      </c>
      <c r="F87" s="0" t="inlineStr">
        <is>
          <t>Mešani gozdovi</t>
        </is>
      </c>
      <c r="G87" s="0" t="inlineStr">
        <is>
          <t>Mikoriza; v tleh</t>
        </is>
      </c>
      <c r="H87" s="0" t="inlineStr">
        <is>
          <t>Bogata humozna nevtralna tla (pH 6.0 - 7.0)</t>
        </is>
      </c>
      <c r="I87" s="0" t="inlineStr"/>
      <c r="J87" s="0" t="inlineStr">
        <is>
          <t>Močan, značilen vonj po sledih ali kuhanih rakih.</t>
        </is>
      </c>
      <c r="K87" s="0" t="inlineStr">
        <is>
          <t>Izloča obilen bel mleček, ki rjavi. Meso ob poškodbi porjavi.</t>
        </is>
      </c>
      <c r="L87" s="0" t="inlineStr">
        <is>
          <t>Pečenje na plošči ali sušenje (lahko se uživa surova z malo soli).</t>
        </is>
      </c>
      <c r="M87" s="0" t="inlineStr">
        <is>
          <t>Vse višine</t>
        </is>
      </c>
      <c r="N87" s="0" t="inlineStr">
        <is>
          <t>Prisotna po celotni dolini</t>
        </is>
      </c>
      <c r="O87" s="0" t="inlineStr">
        <is>
          <t>Prehodna in široko razširjena območja (mešani gozdovi in hribovja širom doline)</t>
        </is>
      </c>
      <c r="P87" s="0" t="inlineStr">
        <is>
          <t>25-35</t>
        </is>
      </c>
      <c r="Q87" s="0" t="inlineStr">
        <is>
          <t>12-20</t>
        </is>
      </c>
      <c r="R87" s="0" t="inlineStr">
        <is>
          <t>Srednji</t>
        </is>
      </c>
    </row>
    <row r="88">
      <c r="A88" s="0" t="inlineStr">
        <is>
          <t>Rdečerjava mlečnica</t>
        </is>
      </c>
      <c r="B88" s="0" t="inlineStr">
        <is>
          <t>Lactarius rufus</t>
        </is>
      </c>
      <c r="C88" s="0" t="inlineStr">
        <is>
          <t>Pogojno užitna</t>
        </is>
      </c>
      <c r="D88" s="0" t="inlineStr">
        <is>
          <t>Avg – Nov</t>
        </is>
      </c>
      <c r="E88" s="0" t="inlineStr">
        <is>
          <t>8 – 16 °C</t>
        </is>
      </c>
      <c r="F88" s="0" t="inlineStr">
        <is>
          <t>Mešani gozdovi</t>
        </is>
      </c>
      <c r="G88" s="0" t="inlineStr">
        <is>
          <t>Mikoriza; v tleh</t>
        </is>
      </c>
      <c r="H88" s="0" t="inlineStr">
        <is>
          <t>Izrazito kisla silikatna in šotna tla (pH 4.0 - 5.5)</t>
        </is>
      </c>
      <c r="I88" s="0" t="inlineStr"/>
      <c r="J88" s="0" t="inlineStr">
        <is>
          <t>Po smoli ali lesu, okus pa po nekaj sekundah izjemno peče</t>
        </is>
      </c>
      <c r="K88" s="0" t="inlineStr">
        <is>
          <t>Izloča obilen bel mleček, ki ne spreminja barve</t>
        </is>
      </c>
      <c r="L88" s="0" t="inlineStr">
        <is>
          <t>Sveža priprava ali sušenje</t>
        </is>
      </c>
      <c r="M88" s="0" t="inlineStr">
        <is>
          <t>Vse višine</t>
        </is>
      </c>
      <c r="N88" s="0" t="inlineStr">
        <is>
          <t>Prisotna po celotni dolini</t>
        </is>
      </c>
      <c r="O88" s="0" t="inlineStr">
        <is>
          <t>Vulkansko pogorje Smrekovca, Komen, Krnes (kisla silikatna osnova in šotišča)</t>
        </is>
      </c>
      <c r="P88" s="0" t="inlineStr">
        <is>
          <t>25-35</t>
        </is>
      </c>
      <c r="Q88" s="0" t="inlineStr">
        <is>
          <t>8-16</t>
        </is>
      </c>
      <c r="R88" s="0" t="inlineStr">
        <is>
          <t>Srednji</t>
        </is>
      </c>
    </row>
    <row r="89">
      <c r="A89" s="0" t="inlineStr">
        <is>
          <t>Jelševa mlečnica</t>
        </is>
      </c>
      <c r="B89" s="0" t="inlineStr">
        <is>
          <t>Lactarius obscuratus</t>
        </is>
      </c>
      <c r="C89" s="0" t="inlineStr">
        <is>
          <t>Neužitna</t>
        </is>
      </c>
      <c r="D89" s="0" t="inlineStr">
        <is>
          <t>Sep – Nov</t>
        </is>
      </c>
      <c r="E89" s="0" t="inlineStr">
        <is>
          <t>6 – 15 °C</t>
        </is>
      </c>
      <c r="F89" s="0" t="inlineStr">
        <is>
          <t>Mešani gozdovi</t>
        </is>
      </c>
      <c r="G89" s="0" t="inlineStr">
        <is>
          <t>Mikoriza; v tleh</t>
        </is>
      </c>
      <c r="H89" s="0" t="inlineStr">
        <is>
          <t>Bogata humozna nevtralna tla (pH 6.0 - 7.0)</t>
        </is>
      </c>
      <c r="I89" s="0" t="inlineStr"/>
      <c r="J89" s="0" t="inlineStr">
        <is>
          <t>Pogosto po stenicah ali posušeni cikoriji</t>
        </is>
      </c>
      <c r="K89" s="0" t="inlineStr">
        <is>
          <t>Izloča voden do belkast mleček</t>
        </is>
      </c>
      <c r="L89" s="0" t="inlineStr">
        <is>
          <t>STRUPENA / NEUŽITNA (Ne nabiraj za prehrano!)</t>
        </is>
      </c>
      <c r="M89" s="0" t="inlineStr">
        <is>
          <t>Vse višine</t>
        </is>
      </c>
      <c r="N89" s="0" t="inlineStr">
        <is>
          <t>Prisotna po celotni dolini</t>
        </is>
      </c>
      <c r="O89" s="0" t="inlineStr">
        <is>
          <t>Prehodna in široko razširjena območja (mešani gozdovi in hribovja širom doline)</t>
        </is>
      </c>
      <c r="P89" s="0" t="inlineStr">
        <is>
          <t>25-35</t>
        </is>
      </c>
      <c r="Q89" s="0" t="inlineStr">
        <is>
          <t>6-15</t>
        </is>
      </c>
      <c r="R89" s="0" t="inlineStr">
        <is>
          <t>Srednji</t>
        </is>
      </c>
    </row>
    <row r="90">
      <c r="A90" s="0" t="inlineStr">
        <is>
          <t>Vodena mlečnica</t>
        </is>
      </c>
      <c r="B90" s="0" t="inlineStr">
        <is>
          <t>Lactarius serifluus</t>
        </is>
      </c>
      <c r="C90" s="0" t="inlineStr">
        <is>
          <t>Neužitna</t>
        </is>
      </c>
      <c r="D90" s="0" t="inlineStr">
        <is>
          <t>Sep – Nov</t>
        </is>
      </c>
      <c r="E90" s="0" t="inlineStr">
        <is>
          <t>6 – 15 °C</t>
        </is>
      </c>
      <c r="F90" s="0" t="inlineStr">
        <is>
          <t>Mešani gozdovi</t>
        </is>
      </c>
      <c r="G90" s="0" t="inlineStr">
        <is>
          <t>Mikoriza; v tleh</t>
        </is>
      </c>
      <c r="H90" s="0" t="inlineStr">
        <is>
          <t>Bogata humozna nevtralna tla (pH 6.0 - 7.0)</t>
        </is>
      </c>
      <c r="I90" s="0" t="inlineStr"/>
      <c r="J90" s="0" t="inlineStr">
        <is>
          <t>Pogosto po stenicah ali posušeni cikoriji</t>
        </is>
      </c>
      <c r="K90" s="0" t="inlineStr">
        <is>
          <t>Izloča voden do belkast mleček</t>
        </is>
      </c>
      <c r="L90" s="0" t="inlineStr">
        <is>
          <t>STRUPENA / NEUŽITNA (Ne nabiraj za prehrano!)</t>
        </is>
      </c>
      <c r="M90" s="0" t="inlineStr">
        <is>
          <t>Vse višine</t>
        </is>
      </c>
      <c r="N90" s="0" t="inlineStr">
        <is>
          <t>Prisotna po celotni dolini</t>
        </is>
      </c>
      <c r="O90" s="0" t="inlineStr">
        <is>
          <t>Prehodna in široko razširjena območja (mešani gozdovi in hribovja širom doline)</t>
        </is>
      </c>
      <c r="P90" s="0" t="inlineStr">
        <is>
          <t>25-35</t>
        </is>
      </c>
      <c r="Q90" s="0" t="inlineStr">
        <is>
          <t>6-15</t>
        </is>
      </c>
      <c r="R90" s="0" t="inlineStr">
        <is>
          <t>Srednji</t>
        </is>
      </c>
    </row>
    <row r="91">
      <c r="A91" s="0" t="inlineStr">
        <is>
          <t>Žafranasta mlečnica</t>
        </is>
      </c>
      <c r="B91" s="0" t="inlineStr">
        <is>
          <t>Lactarius croceus</t>
        </is>
      </c>
      <c r="C91" s="0" t="inlineStr">
        <is>
          <t>Užitna</t>
        </is>
      </c>
      <c r="D91" s="0" t="inlineStr">
        <is>
          <t>Jul – Okt</t>
        </is>
      </c>
      <c r="E91" s="0" t="inlineStr">
        <is>
          <t>12 – 20 °C</t>
        </is>
      </c>
      <c r="F91" s="0" t="inlineStr">
        <is>
          <t>Mešani gozdovi</t>
        </is>
      </c>
      <c r="G91" s="0" t="inlineStr">
        <is>
          <t>Mikoriza; v tleh</t>
        </is>
      </c>
      <c r="H91" s="0" t="inlineStr">
        <is>
          <t>Bogata humozna nevtralna tla (pH 6.0 - 7.0)</t>
        </is>
      </c>
      <c r="I91" s="0" t="inlineStr"/>
      <c r="J91" s="0" t="inlineStr">
        <is>
          <t>Značilen po gobah</t>
        </is>
      </c>
      <c r="K91" s="0" t="inlineStr">
        <is>
          <t>Izloča mleček</t>
        </is>
      </c>
      <c r="L91" s="0" t="inlineStr">
        <is>
          <t>Sveža priprava ali sušenje</t>
        </is>
      </c>
      <c r="M91" s="0" t="inlineStr">
        <is>
          <t>Vse višine</t>
        </is>
      </c>
      <c r="N91" s="0" t="inlineStr">
        <is>
          <t>Prisotna po celotni dolini</t>
        </is>
      </c>
      <c r="O91" s="0" t="inlineStr">
        <is>
          <t>Prehodna in široko razširjena območja (mešani gozdovi in hribovja širom doline)</t>
        </is>
      </c>
      <c r="P91" s="0" t="inlineStr">
        <is>
          <t>25-35</t>
        </is>
      </c>
      <c r="Q91" s="0" t="inlineStr">
        <is>
          <t>12-20</t>
        </is>
      </c>
      <c r="R91" s="0" t="inlineStr">
        <is>
          <t>Srednji</t>
        </is>
      </c>
    </row>
    <row r="92">
      <c r="A92" s="0" t="inlineStr">
        <is>
          <t>Mahova mlečnica</t>
        </is>
      </c>
      <c r="B92" s="0" t="inlineStr">
        <is>
          <t>Lactarius omphaliformis</t>
        </is>
      </c>
      <c r="C92" s="0" t="inlineStr">
        <is>
          <t>Neužitna</t>
        </is>
      </c>
      <c r="D92" s="0" t="inlineStr">
        <is>
          <t>Sep – Nov</t>
        </is>
      </c>
      <c r="E92" s="0" t="inlineStr">
        <is>
          <t>6 – 15 °C</t>
        </is>
      </c>
      <c r="F92" s="0" t="inlineStr">
        <is>
          <t>Mešani gozdovi</t>
        </is>
      </c>
      <c r="G92" s="0" t="inlineStr">
        <is>
          <t>Mikoriza; v tleh</t>
        </is>
      </c>
      <c r="H92" s="0" t="inlineStr">
        <is>
          <t>Bogata humozna nevtralna tla (pH 6.0 - 7.0)</t>
        </is>
      </c>
      <c r="I92" s="0" t="inlineStr"/>
      <c r="J92" s="0" t="inlineStr">
        <is>
          <t>Pogosto po stenicah ali posušeni cikoriji</t>
        </is>
      </c>
      <c r="K92" s="0" t="inlineStr">
        <is>
          <t>Izloča voden do belkast mleček</t>
        </is>
      </c>
      <c r="L92" s="0" t="inlineStr">
        <is>
          <t>STRUPENA / NEUŽITNA (Ne nabiraj za prehrano!)</t>
        </is>
      </c>
      <c r="M92" s="0" t="inlineStr">
        <is>
          <t>Vse višine</t>
        </is>
      </c>
      <c r="N92" s="0" t="inlineStr">
        <is>
          <t>Prisotna po celotni dolini</t>
        </is>
      </c>
      <c r="O92" s="0" t="inlineStr">
        <is>
          <t>Prehodna in široko razširjena območja (mešani gozdovi in hribovja širom doline)</t>
        </is>
      </c>
      <c r="P92" s="0" t="inlineStr">
        <is>
          <t>25-35</t>
        </is>
      </c>
      <c r="Q92" s="0" t="inlineStr">
        <is>
          <t>6-15</t>
        </is>
      </c>
      <c r="R92" s="0" t="inlineStr">
        <is>
          <t>Srednji</t>
        </is>
      </c>
    </row>
    <row r="93">
      <c r="A93" s="0" t="inlineStr">
        <is>
          <t>Zlata sirovka</t>
        </is>
      </c>
      <c r="B93" s="0" t="inlineStr">
        <is>
          <t>Lactarius chrysorrheus</t>
        </is>
      </c>
      <c r="C93" s="0" t="inlineStr">
        <is>
          <t>Strupena</t>
        </is>
      </c>
      <c r="D93" s="0" t="inlineStr">
        <is>
          <t>Jul – Okt</t>
        </is>
      </c>
      <c r="E93" s="0" t="inlineStr">
        <is>
          <t>12 – 20 °C</t>
        </is>
      </c>
      <c r="F93" s="0" t="inlineStr">
        <is>
          <t>Mešani gozdovi</t>
        </is>
      </c>
      <c r="G93" s="0" t="inlineStr">
        <is>
          <t>Mikoriza; v tleh</t>
        </is>
      </c>
      <c r="H93" s="0" t="inlineStr">
        <is>
          <t>Bogata humozna nevtralna tla (pH 6.0 - 7.0)</t>
        </is>
      </c>
      <c r="I93" s="0" t="inlineStr"/>
      <c r="J93" s="0" t="inlineStr">
        <is>
          <t>Gorko-pekoč okus.</t>
        </is>
      </c>
      <c r="K93" s="0" t="inlineStr">
        <is>
          <t>Beli mleček na zraku v nekaj sekundah postane žvepleno rumen.</t>
        </is>
      </c>
      <c r="L93" s="0" t="inlineStr">
        <is>
          <t>STRUPENA / NEUŽITNA (Ne nabiraj za prehrano!)</t>
        </is>
      </c>
      <c r="M93" s="0" t="inlineStr">
        <is>
          <t>Vse višine</t>
        </is>
      </c>
      <c r="N93" s="0" t="inlineStr">
        <is>
          <t>Prisotna po celotni dolini</t>
        </is>
      </c>
      <c r="O93" s="0" t="inlineStr">
        <is>
          <t>Prehodna in široko razširjena območja (mešani gozdovi in hribovja širom doline)</t>
        </is>
      </c>
      <c r="P93" s="0" t="inlineStr">
        <is>
          <t>25-35</t>
        </is>
      </c>
      <c r="Q93" s="0" t="inlineStr">
        <is>
          <t>12-20</t>
        </is>
      </c>
      <c r="R93" s="0" t="inlineStr">
        <is>
          <t>Srednji</t>
        </is>
      </c>
    </row>
    <row r="94">
      <c r="A94" s="0" t="inlineStr">
        <is>
          <t>Krvavosočna sirovka</t>
        </is>
      </c>
      <c r="B94" s="0" t="inlineStr">
        <is>
          <t>Lactarius sanguifluus</t>
        </is>
      </c>
      <c r="C94" s="0" t="inlineStr">
        <is>
          <t>Užitna</t>
        </is>
      </c>
      <c r="D94" s="0" t="inlineStr">
        <is>
          <t>Jul – Okt</t>
        </is>
      </c>
      <c r="E94" s="0" t="inlineStr">
        <is>
          <t>12 – 20 °C</t>
        </is>
      </c>
      <c r="F94" s="0" t="inlineStr">
        <is>
          <t>Mešani gozdovi</t>
        </is>
      </c>
      <c r="G94" s="0" t="inlineStr">
        <is>
          <t>Mikoriza; v tleh</t>
        </is>
      </c>
      <c r="H94" s="0" t="inlineStr">
        <is>
          <t>Bogata humozna nevtralna tla (pH 6.0 - 7.0)</t>
        </is>
      </c>
      <c r="I94" s="0" t="inlineStr"/>
      <c r="J94" s="0" t="inlineStr">
        <is>
          <t>Značilen po gobah</t>
        </is>
      </c>
      <c r="K94" s="0" t="inlineStr">
        <is>
          <t>Izloča gost, vinsko rdeč do škrlaten mleček.</t>
        </is>
      </c>
      <c r="L94" s="0" t="inlineStr">
        <is>
          <t>Odlična za pečenje na žaru ali vlaganje.</t>
        </is>
      </c>
      <c r="M94" s="0" t="inlineStr">
        <is>
          <t>Vse višine</t>
        </is>
      </c>
      <c r="N94" s="0" t="inlineStr">
        <is>
          <t>Prisotna po celotni dolini</t>
        </is>
      </c>
      <c r="O94" s="0" t="inlineStr">
        <is>
          <t>Prehodna in široko razširjena območja (mešani gozdovi in hribovja širom doline)</t>
        </is>
      </c>
      <c r="P94" s="0" t="inlineStr">
        <is>
          <t>25-35</t>
        </is>
      </c>
      <c r="Q94" s="0" t="inlineStr">
        <is>
          <t>12-20</t>
        </is>
      </c>
      <c r="R94" s="0" t="inlineStr">
        <is>
          <t>Srednji</t>
        </is>
      </c>
    </row>
    <row r="95">
      <c r="A95" s="0" t="inlineStr">
        <is>
          <t>Breskova mlečnica</t>
        </is>
      </c>
      <c r="B95" s="0" t="inlineStr">
        <is>
          <t>Lactarius persicinus</t>
        </is>
      </c>
      <c r="C95" s="0" t="inlineStr">
        <is>
          <t>Neužitna</t>
        </is>
      </c>
      <c r="D95" s="0" t="inlineStr">
        <is>
          <t>Jul – Okt</t>
        </is>
      </c>
      <c r="E95" s="0" t="inlineStr">
        <is>
          <t>12 – 20 °C</t>
        </is>
      </c>
      <c r="F95" s="0" t="inlineStr">
        <is>
          <t>Mešani gozdovi</t>
        </is>
      </c>
      <c r="G95" s="0" t="inlineStr">
        <is>
          <t>Mikoriza; v tleh</t>
        </is>
      </c>
      <c r="H95" s="0" t="inlineStr">
        <is>
          <t>Bogata humozna nevtralna tla (pH 6.0 - 7.0)</t>
        </is>
      </c>
      <c r="I95" s="0" t="inlineStr"/>
      <c r="J95" s="0" t="inlineStr">
        <is>
          <t>Značilen po gobah</t>
        </is>
      </c>
      <c r="K95" s="0" t="inlineStr">
        <is>
          <t>Izloča mleček</t>
        </is>
      </c>
      <c r="L95" s="0" t="inlineStr">
        <is>
          <t>STRUPENA / NEUŽITNA (Ne nabiraj za prehrano!)</t>
        </is>
      </c>
      <c r="M95" s="0" t="inlineStr">
        <is>
          <t>Vse višine</t>
        </is>
      </c>
      <c r="N95" s="0" t="inlineStr">
        <is>
          <t>Prisotna po celotni dolini</t>
        </is>
      </c>
      <c r="O95" s="0" t="inlineStr">
        <is>
          <t>Prehodna in široko razširjena območja (mešani gozdovi in hribovja širom doline)</t>
        </is>
      </c>
      <c r="P95" s="0" t="inlineStr">
        <is>
          <t>25-35</t>
        </is>
      </c>
      <c r="Q95" s="0" t="inlineStr">
        <is>
          <t>12-20</t>
        </is>
      </c>
      <c r="R95" s="0" t="inlineStr">
        <is>
          <t>Srednji</t>
        </is>
      </c>
    </row>
    <row r="96">
      <c r="A96" s="0" t="inlineStr">
        <is>
          <t>Črna mlečnica</t>
        </is>
      </c>
      <c r="B96" s="0" t="inlineStr">
        <is>
          <t>Lactarius lignyotus</t>
        </is>
      </c>
      <c r="C96" s="0" t="inlineStr">
        <is>
          <t>Užitna</t>
        </is>
      </c>
      <c r="D96" s="0" t="inlineStr">
        <is>
          <t>Avg – Okt</t>
        </is>
      </c>
      <c r="E96" s="0" t="inlineStr">
        <is>
          <t>10 – 18 °C</t>
        </is>
      </c>
      <c r="F96" s="0" t="inlineStr">
        <is>
          <t>Mešani gozdovi</t>
        </is>
      </c>
      <c r="G96" s="0" t="inlineStr">
        <is>
          <t>Mikoriza; v tleh</t>
        </is>
      </c>
      <c r="H96" s="0" t="inlineStr">
        <is>
          <t>Bogata humozna nevtralna tla (pH 6.0 - 7.0)</t>
        </is>
      </c>
      <c r="I96" s="0" t="inlineStr"/>
      <c r="J96" s="0" t="inlineStr">
        <is>
          <t>Prijeten</t>
        </is>
      </c>
      <c r="K96" s="0" t="inlineStr">
        <is>
          <t>Meso in mleček sta bela, na zraku rožnato pordečita</t>
        </is>
      </c>
      <c r="L96" s="0" t="inlineStr">
        <is>
          <t>Sveža priprava ali sušenje</t>
        </is>
      </c>
      <c r="M96" s="0" t="inlineStr">
        <is>
          <t>Vse višine</t>
        </is>
      </c>
      <c r="N96" s="0" t="inlineStr">
        <is>
          <t>Prisotna po celotni dolini</t>
        </is>
      </c>
      <c r="O96" s="0" t="inlineStr">
        <is>
          <t>Prehodna in široko razširjena območja (mešani gozdovi in hribovja širom doline)</t>
        </is>
      </c>
      <c r="P96" s="0" t="inlineStr">
        <is>
          <t>25-35</t>
        </is>
      </c>
      <c r="Q96" s="0" t="inlineStr">
        <is>
          <t>10-18</t>
        </is>
      </c>
      <c r="R96" s="0" t="inlineStr">
        <is>
          <t>Srednji</t>
        </is>
      </c>
    </row>
    <row r="97">
      <c r="A97" s="0" t="inlineStr">
        <is>
          <t>Zimska kolobarnica</t>
        </is>
      </c>
      <c r="B97" s="0" t="inlineStr">
        <is>
          <t>Tricholoma portentosum</t>
        </is>
      </c>
      <c r="C97" s="0" t="inlineStr">
        <is>
          <t>Užitna</t>
        </is>
      </c>
      <c r="D97" s="0" t="inlineStr">
        <is>
          <t>Sep – Dec</t>
        </is>
      </c>
      <c r="E97" s="0" t="inlineStr">
        <is>
          <t>4 – 12 °C</t>
        </is>
      </c>
      <c r="F97" s="0" t="inlineStr">
        <is>
          <t>Mešani gozdovi</t>
        </is>
      </c>
      <c r="G97" s="0" t="inlineStr">
        <is>
          <t>Mikoriza; v tleh</t>
        </is>
      </c>
      <c r="H97" s="0" t="inlineStr">
        <is>
          <t>Bogata humozna nevtralna tla (pH 6.0 - 7.0)</t>
        </is>
      </c>
      <c r="I97" s="0" t="inlineStr"/>
      <c r="J97" s="0" t="inlineStr">
        <is>
          <t>Izrazit, prijeten vonj po sveži moki ali kumarah</t>
        </is>
      </c>
      <c r="K97" s="0" t="inlineStr">
        <is>
          <t>Meso ostane snežno belo</t>
        </is>
      </c>
      <c r="L97" s="0" t="inlineStr">
        <is>
          <t>Odlične za jesensko/zimsko vlaganje.</t>
        </is>
      </c>
      <c r="M97" s="0" t="inlineStr">
        <is>
          <t>Vse višine</t>
        </is>
      </c>
      <c r="N97" s="0" t="inlineStr">
        <is>
          <t>Prisotna po celotni dolini</t>
        </is>
      </c>
      <c r="O97" s="0" t="inlineStr">
        <is>
          <t>Prehodna in široko razširjena območja (mešani gozdovi in hribovja širom doline)</t>
        </is>
      </c>
      <c r="P97" s="0" t="inlineStr">
        <is>
          <t>20-30</t>
        </is>
      </c>
      <c r="Q97" s="0" t="inlineStr">
        <is>
          <t>4-12</t>
        </is>
      </c>
      <c r="R97" s="0" t="inlineStr">
        <is>
          <t>Srednji</t>
        </is>
      </c>
    </row>
    <row r="98">
      <c r="A98" s="0" t="inlineStr">
        <is>
          <t>Zelenkasta kolobarnica</t>
        </is>
      </c>
      <c r="B98" s="0" t="inlineStr">
        <is>
          <t>Tricholoma equestre</t>
        </is>
      </c>
      <c r="C98" s="0" t="inlineStr">
        <is>
          <t>Strupena</t>
        </is>
      </c>
      <c r="D98" s="0" t="inlineStr">
        <is>
          <t>Jul – Okt</t>
        </is>
      </c>
      <c r="E98" s="0" t="inlineStr">
        <is>
          <t>12 – 20 °C</t>
        </is>
      </c>
      <c r="F98" s="0" t="inlineStr">
        <is>
          <t>Mešani gozdovi</t>
        </is>
      </c>
      <c r="G98" s="0" t="inlineStr">
        <is>
          <t>Mikoriza; v tleh</t>
        </is>
      </c>
      <c r="H98" s="0" t="inlineStr">
        <is>
          <t>Bogata humozna nevtralna tla (pH 6.0 - 7.0)</t>
        </is>
      </c>
      <c r="I98" s="0" t="inlineStr"/>
      <c r="J98" s="0" t="inlineStr">
        <is>
          <t>Prijeten vonj po moki</t>
        </is>
      </c>
      <c r="K98" s="0" t="inlineStr">
        <is>
          <t>Ne spreminja barve</t>
        </is>
      </c>
      <c r="L98" s="0" t="inlineStr">
        <is>
          <t>STRUPENA / NEUŽITNA (Ne nabiraj za prehrano!)</t>
        </is>
      </c>
      <c r="M98" s="0" t="inlineStr">
        <is>
          <t>Vse višine</t>
        </is>
      </c>
      <c r="N98" s="0" t="inlineStr">
        <is>
          <t>Prisotna po celotni dolini</t>
        </is>
      </c>
      <c r="O98" s="0" t="inlineStr">
        <is>
          <t>Prehodna in široko razširjena območja (mešani gozdovi in hribovja širom doline)</t>
        </is>
      </c>
      <c r="P98" s="0" t="inlineStr">
        <is>
          <t>20-30</t>
        </is>
      </c>
      <c r="Q98" s="0" t="inlineStr">
        <is>
          <t>12-20</t>
        </is>
      </c>
      <c r="R98" s="0" t="inlineStr">
        <is>
          <t>Srednji</t>
        </is>
      </c>
    </row>
    <row r="99">
      <c r="A99" s="0" t="inlineStr">
        <is>
          <t>Pegasta kolobarnica</t>
        </is>
      </c>
      <c r="B99" s="0" t="inlineStr">
        <is>
          <t>Tricholoma pardinum</t>
        </is>
      </c>
      <c r="C99" s="0" t="inlineStr">
        <is>
          <t>Zelo strupena</t>
        </is>
      </c>
      <c r="D99" s="0" t="inlineStr">
        <is>
          <t>Jul – Okt</t>
        </is>
      </c>
      <c r="E99" s="0" t="inlineStr">
        <is>
          <t>12 – 20 °C</t>
        </is>
      </c>
      <c r="F99" s="0" t="inlineStr">
        <is>
          <t>Mešani gozdovi</t>
        </is>
      </c>
      <c r="G99" s="0" t="inlineStr">
        <is>
          <t>Mikoriza; v tleh</t>
        </is>
      </c>
      <c r="H99" s="0" t="inlineStr">
        <is>
          <t>Bogata humozna nevtralna tla (pH 6.0 - 7.0)</t>
        </is>
      </c>
      <c r="I99" s="0" t="inlineStr"/>
      <c r="J99" s="0" t="inlineStr">
        <is>
          <t>Mokast vonj in okus</t>
        </is>
      </c>
      <c r="K99" s="0" t="inlineStr">
        <is>
          <t>Ne spreminja barve</t>
        </is>
      </c>
      <c r="L99" s="0" t="inlineStr">
        <is>
          <t>STRUPENA / NEUŽITNA (Ne nabiraj za prehrano!)</t>
        </is>
      </c>
      <c r="M99" s="0" t="inlineStr">
        <is>
          <t>Vse višine</t>
        </is>
      </c>
      <c r="N99" s="0" t="inlineStr">
        <is>
          <t>Prisotna po celotni dolini</t>
        </is>
      </c>
      <c r="O99" s="0" t="inlineStr">
        <is>
          <t>Prehodna in široko razširjena območja (mešani gozdovi in hribovja širom doline)</t>
        </is>
      </c>
      <c r="P99" s="0" t="inlineStr">
        <is>
          <t>20-30</t>
        </is>
      </c>
      <c r="Q99" s="0" t="inlineStr">
        <is>
          <t>12-20</t>
        </is>
      </c>
      <c r="R99" s="0" t="inlineStr">
        <is>
          <t>Srednji</t>
        </is>
      </c>
    </row>
    <row r="100">
      <c r="A100" s="0" t="inlineStr">
        <is>
          <t>Milnata kolobarnica</t>
        </is>
      </c>
      <c r="B100" s="0" t="inlineStr">
        <is>
          <t>Tricholoma saponaceum</t>
        </is>
      </c>
      <c r="C100" s="0" t="inlineStr">
        <is>
          <t>Neužitna</t>
        </is>
      </c>
      <c r="D100" s="0" t="inlineStr">
        <is>
          <t>Sep – Nov</t>
        </is>
      </c>
      <c r="E100" s="0" t="inlineStr">
        <is>
          <t>8 – 16 °C</t>
        </is>
      </c>
      <c r="F100" s="0" t="inlineStr">
        <is>
          <t>Mešani gozdovi</t>
        </is>
      </c>
      <c r="G100" s="0" t="inlineStr">
        <is>
          <t>Mikoriza; v tleh</t>
        </is>
      </c>
      <c r="H100" s="0" t="inlineStr">
        <is>
          <t>Bogata humozna nevtralna tla (pH 6.0 - 7.0)</t>
        </is>
      </c>
      <c r="I100" s="0" t="inlineStr"/>
      <c r="J100" s="0" t="inlineStr">
        <is>
          <t>Neprijeten vonj po cenenem milu (lug)</t>
        </is>
      </c>
      <c r="K100" s="0" t="inlineStr">
        <is>
          <t>Meso na prerezu pogosto rdečkasto posivi</t>
        </is>
      </c>
      <c r="L100" s="0" t="inlineStr">
        <is>
          <t>STRUPENA / NEUŽITNA (Ne nabiraj za prehrano!)</t>
        </is>
      </c>
      <c r="M100" s="0" t="inlineStr">
        <is>
          <t>Vse višine</t>
        </is>
      </c>
      <c r="N100" s="0" t="inlineStr">
        <is>
          <t>Prisotna po celotni dolini</t>
        </is>
      </c>
      <c r="O100" s="0" t="inlineStr">
        <is>
          <t>Prehodna in široko razširjena območja (mešani gozdovi in hribovja širom doline)</t>
        </is>
      </c>
      <c r="P100" s="0" t="inlineStr">
        <is>
          <t>20-30</t>
        </is>
      </c>
      <c r="Q100" s="0" t="inlineStr">
        <is>
          <t>8-16</t>
        </is>
      </c>
      <c r="R100" s="0" t="inlineStr">
        <is>
          <t>Srednji</t>
        </is>
      </c>
    </row>
    <row r="101">
      <c r="A101" s="0" t="inlineStr">
        <is>
          <t>Žveplena kolobarnica</t>
        </is>
      </c>
      <c r="B101" s="0" t="inlineStr">
        <is>
          <t>Tricholoma sulphureum</t>
        </is>
      </c>
      <c r="C101" s="0" t="inlineStr">
        <is>
          <t>Neužitna</t>
        </is>
      </c>
      <c r="D101" s="0" t="inlineStr">
        <is>
          <t>Avg – Nov</t>
        </is>
      </c>
      <c r="E101" s="0" t="inlineStr">
        <is>
          <t>10 – 20 °C</t>
        </is>
      </c>
      <c r="F101" s="0" t="inlineStr">
        <is>
          <t>Mešani gozdovi</t>
        </is>
      </c>
      <c r="G101" s="0" t="inlineStr">
        <is>
          <t>Mikoriza; v tleh</t>
        </is>
      </c>
      <c r="H101" s="0" t="inlineStr">
        <is>
          <t>Bogata humozna nevtralna tla (pH 6.0 - 7.0)</t>
        </is>
      </c>
      <c r="I101" s="0" t="inlineStr"/>
      <c r="J101" s="0" t="inlineStr">
        <is>
          <t>Zelo močan in zadušljiv vonj po plinu (karbidu) ali žveplu</t>
        </is>
      </c>
      <c r="K101" s="0" t="inlineStr">
        <is>
          <t>Živo rumeno meso</t>
        </is>
      </c>
      <c r="L101" s="0" t="inlineStr">
        <is>
          <t>STRUPENA / NEUŽITNA (Ne nabiraj za prehrano!)</t>
        </is>
      </c>
      <c r="M101" s="0" t="inlineStr">
        <is>
          <t>Vse višine</t>
        </is>
      </c>
      <c r="N101" s="0" t="inlineStr">
        <is>
          <t>Prisotna po celotni dolini</t>
        </is>
      </c>
      <c r="O101" s="0" t="inlineStr">
        <is>
          <t>Prehodna in široko razširjena območja (mešani gozdovi in hribovja širom doline)</t>
        </is>
      </c>
      <c r="P101" s="0" t="inlineStr">
        <is>
          <t>20-30</t>
        </is>
      </c>
      <c r="Q101" s="0" t="inlineStr">
        <is>
          <t>10-20</t>
        </is>
      </c>
      <c r="R101" s="0" t="inlineStr">
        <is>
          <t>Srednji</t>
        </is>
      </c>
    </row>
    <row r="102">
      <c r="A102" s="0" t="inlineStr">
        <is>
          <t>Prstena kolobarnica</t>
        </is>
      </c>
      <c r="B102" s="0" t="inlineStr">
        <is>
          <t>Tricholoma terreum</t>
        </is>
      </c>
      <c r="C102" s="0" t="inlineStr">
        <is>
          <t>Užitna</t>
        </is>
      </c>
      <c r="D102" s="0" t="inlineStr">
        <is>
          <t>Sep – Dec</t>
        </is>
      </c>
      <c r="E102" s="0" t="inlineStr">
        <is>
          <t>4 – 12 °C</t>
        </is>
      </c>
      <c r="F102" s="0" t="inlineStr">
        <is>
          <t>Mešani gozdovi</t>
        </is>
      </c>
      <c r="G102" s="0" t="inlineStr">
        <is>
          <t>Mikoriza; v tleh</t>
        </is>
      </c>
      <c r="H102" s="0" t="inlineStr">
        <is>
          <t>Bogata humozna nevtralna tla (pH 6.0 - 7.0)</t>
        </is>
      </c>
      <c r="I102" s="0" t="inlineStr"/>
      <c r="J102" s="0" t="inlineStr">
        <is>
          <t>Izrazit, prijeten vonj po sveži moki ali kumarah</t>
        </is>
      </c>
      <c r="K102" s="0" t="inlineStr">
        <is>
          <t>Meso ostane snežno belo</t>
        </is>
      </c>
      <c r="L102" s="0" t="inlineStr">
        <is>
          <t>Odlične za jesensko/zimsko vlaganje.</t>
        </is>
      </c>
      <c r="M102" s="0" t="inlineStr">
        <is>
          <t>Vse višine</t>
        </is>
      </c>
      <c r="N102" s="0" t="inlineStr">
        <is>
          <t>Prisotna po celotni dolini</t>
        </is>
      </c>
      <c r="O102" s="0" t="inlineStr">
        <is>
          <t>Prehodna in široko razširjena območja (mešani gozdovi in hribovja širom doline)</t>
        </is>
      </c>
      <c r="P102" s="0" t="inlineStr">
        <is>
          <t>20-30</t>
        </is>
      </c>
      <c r="Q102" s="0" t="inlineStr">
        <is>
          <t>4-12</t>
        </is>
      </c>
      <c r="R102" s="0" t="inlineStr">
        <is>
          <t>Srednji</t>
        </is>
      </c>
    </row>
    <row r="103">
      <c r="A103" s="0" t="inlineStr">
        <is>
          <t>Rjava kolobarnica</t>
        </is>
      </c>
      <c r="B103" s="0" t="inlineStr">
        <is>
          <t>Tricholoma ustale</t>
        </is>
      </c>
      <c r="C103" s="0" t="inlineStr">
        <is>
          <t>Neužitna</t>
        </is>
      </c>
      <c r="D103" s="0" t="inlineStr">
        <is>
          <t>Jul – Okt</t>
        </is>
      </c>
      <c r="E103" s="0" t="inlineStr">
        <is>
          <t>12 – 20 °C</t>
        </is>
      </c>
      <c r="F103" s="0" t="inlineStr">
        <is>
          <t>Mešani gozdovi</t>
        </is>
      </c>
      <c r="G103" s="0" t="inlineStr">
        <is>
          <t>Mikoriza; v tleh</t>
        </is>
      </c>
      <c r="H103" s="0" t="inlineStr">
        <is>
          <t>Bogata humozna nevtralna tla (pH 6.0 - 7.0)</t>
        </is>
      </c>
      <c r="I103" s="0" t="inlineStr"/>
      <c r="J103" s="0" t="inlineStr">
        <is>
          <t>Vonj po moki, okus pa močno grenak</t>
        </is>
      </c>
      <c r="K103" s="0" t="inlineStr">
        <is>
          <t>Ne spreminja barve</t>
        </is>
      </c>
      <c r="L103" s="0" t="inlineStr">
        <is>
          <t>STRUPENA / NEUŽITNA (Ne nabiraj za prehrano!)</t>
        </is>
      </c>
      <c r="M103" s="0" t="inlineStr">
        <is>
          <t>Vse višine</t>
        </is>
      </c>
      <c r="N103" s="0" t="inlineStr">
        <is>
          <t>Prisotna po celotni dolini</t>
        </is>
      </c>
      <c r="O103" s="0" t="inlineStr">
        <is>
          <t>Prehodna in široko razširjena območja (mešani gozdovi in hribovja širom doline)</t>
        </is>
      </c>
      <c r="P103" s="0" t="inlineStr">
        <is>
          <t>20-30</t>
        </is>
      </c>
      <c r="Q103" s="0" t="inlineStr">
        <is>
          <t>12-20</t>
        </is>
      </c>
      <c r="R103" s="0" t="inlineStr">
        <is>
          <t>Srednji</t>
        </is>
      </c>
    </row>
    <row r="104">
      <c r="A104" s="0" t="inlineStr">
        <is>
          <t>Miška</t>
        </is>
      </c>
      <c r="B104" s="0" t="inlineStr">
        <is>
          <t>Tricholoma scalpturatum</t>
        </is>
      </c>
      <c r="C104" s="0" t="inlineStr">
        <is>
          <t>Užitna</t>
        </is>
      </c>
      <c r="D104" s="0" t="inlineStr">
        <is>
          <t>Sep – Dec</t>
        </is>
      </c>
      <c r="E104" s="0" t="inlineStr">
        <is>
          <t>4 – 12 °C</t>
        </is>
      </c>
      <c r="F104" s="0" t="inlineStr">
        <is>
          <t>Mešani gozdovi</t>
        </is>
      </c>
      <c r="G104" s="0" t="inlineStr">
        <is>
          <t>Mikoriza; v tleh</t>
        </is>
      </c>
      <c r="H104" s="0" t="inlineStr">
        <is>
          <t>Bogata humozna nevtralna tla (pH 6.0 - 7.0)</t>
        </is>
      </c>
      <c r="I104" s="0" t="inlineStr"/>
      <c r="J104" s="0" t="inlineStr">
        <is>
          <t>Izrazit, prijeten vonj po sveži moki ali kumarah</t>
        </is>
      </c>
      <c r="K104" s="0" t="inlineStr">
        <is>
          <t>Meso ostane snežno belo</t>
        </is>
      </c>
      <c r="L104" s="0" t="inlineStr">
        <is>
          <t>Odlične za jesensko/zimsko vlaganje.</t>
        </is>
      </c>
      <c r="M104" s="0" t="inlineStr">
        <is>
          <t>Vse višine</t>
        </is>
      </c>
      <c r="N104" s="0" t="inlineStr">
        <is>
          <t>Prisotna po celotni dolini</t>
        </is>
      </c>
      <c r="O104" s="0" t="inlineStr">
        <is>
          <t>Prehodna in široko razširjena območja (mešani gozdovi in hribovja širom doline)</t>
        </is>
      </c>
      <c r="P104" s="0" t="inlineStr">
        <is>
          <t>20-30</t>
        </is>
      </c>
      <c r="Q104" s="0" t="inlineStr">
        <is>
          <t>4-12</t>
        </is>
      </c>
      <c r="R104" s="0" t="inlineStr">
        <is>
          <t>Srednji</t>
        </is>
      </c>
    </row>
    <row r="105">
      <c r="A105" s="0" t="inlineStr">
        <is>
          <t>Črnomekinasta kolobarnica</t>
        </is>
      </c>
      <c r="B105" s="0" t="inlineStr">
        <is>
          <t>Tricholoma atrosquamosum</t>
        </is>
      </c>
      <c r="C105" s="0" t="inlineStr">
        <is>
          <t>Užitna</t>
        </is>
      </c>
      <c r="D105" s="0" t="inlineStr">
        <is>
          <t>Sep – Dec</t>
        </is>
      </c>
      <c r="E105" s="0" t="inlineStr">
        <is>
          <t>4 – 12 °C</t>
        </is>
      </c>
      <c r="F105" s="0" t="inlineStr">
        <is>
          <t>Mešani gozdovi</t>
        </is>
      </c>
      <c r="G105" s="0" t="inlineStr">
        <is>
          <t>Mikoriza; v tleh</t>
        </is>
      </c>
      <c r="H105" s="0" t="inlineStr">
        <is>
          <t>Bogata humozna nevtralna tla (pH 6.0 - 7.0)</t>
        </is>
      </c>
      <c r="I105" s="0" t="inlineStr"/>
      <c r="J105" s="0" t="inlineStr">
        <is>
          <t>Izrazit, prijeten vonj po sveži moki ali kumarah</t>
        </is>
      </c>
      <c r="K105" s="0" t="inlineStr">
        <is>
          <t>Meso ostane snežno belo</t>
        </is>
      </c>
      <c r="L105" s="0" t="inlineStr">
        <is>
          <t>Odlične za jesensko/zimsko vlaganje.</t>
        </is>
      </c>
      <c r="M105" s="0" t="inlineStr">
        <is>
          <t>Vse višine</t>
        </is>
      </c>
      <c r="N105" s="0" t="inlineStr">
        <is>
          <t>Prisotna po celotni dolini</t>
        </is>
      </c>
      <c r="O105" s="0" t="inlineStr">
        <is>
          <t>Prehodna in široko razširjena območja (mešani gozdovi in hribovja širom doline)</t>
        </is>
      </c>
      <c r="P105" s="0" t="inlineStr">
        <is>
          <t>20-30</t>
        </is>
      </c>
      <c r="Q105" s="0" t="inlineStr">
        <is>
          <t>4-12</t>
        </is>
      </c>
      <c r="R105" s="0" t="inlineStr">
        <is>
          <t>Srednji</t>
        </is>
      </c>
    </row>
    <row r="106">
      <c r="A106" s="0" t="inlineStr">
        <is>
          <t>Žolta kolobarnica</t>
        </is>
      </c>
      <c r="B106" s="0" t="inlineStr">
        <is>
          <t>Tricholoma sejunctum</t>
        </is>
      </c>
      <c r="C106" s="0" t="inlineStr">
        <is>
          <t>Neužitna</t>
        </is>
      </c>
      <c r="D106" s="0" t="inlineStr">
        <is>
          <t>Jul – Okt</t>
        </is>
      </c>
      <c r="E106" s="0" t="inlineStr">
        <is>
          <t>12 – 20 °C</t>
        </is>
      </c>
      <c r="F106" s="0" t="inlineStr">
        <is>
          <t>Mešani gozdovi</t>
        </is>
      </c>
      <c r="G106" s="0" t="inlineStr">
        <is>
          <t>Mikoriza; v tleh</t>
        </is>
      </c>
      <c r="H106" s="0" t="inlineStr">
        <is>
          <t>Bogata humozna nevtralna tla (pH 6.0 - 7.0)</t>
        </is>
      </c>
      <c r="I106" s="0" t="inlineStr"/>
      <c r="J106" s="0" t="inlineStr">
        <is>
          <t>Vonj po moki, okus pa močno grenak</t>
        </is>
      </c>
      <c r="K106" s="0" t="inlineStr">
        <is>
          <t>Ne spreminja barve</t>
        </is>
      </c>
      <c r="L106" s="0" t="inlineStr">
        <is>
          <t>STRUPENA / NEUŽITNA (Ne nabiraj za prehrano!)</t>
        </is>
      </c>
      <c r="M106" s="0" t="inlineStr">
        <is>
          <t>Vse višine</t>
        </is>
      </c>
      <c r="N106" s="0" t="inlineStr">
        <is>
          <t>Prisotna po celotni dolini</t>
        </is>
      </c>
      <c r="O106" s="0" t="inlineStr">
        <is>
          <t>Prehodna in široko razširjena območja (mešani gozdovi in hribovja širom doline)</t>
        </is>
      </c>
      <c r="P106" s="0" t="inlineStr">
        <is>
          <t>20-30</t>
        </is>
      </c>
      <c r="Q106" s="0" t="inlineStr">
        <is>
          <t>12-20</t>
        </is>
      </c>
      <c r="R106" s="0" t="inlineStr">
        <is>
          <t>Srednji</t>
        </is>
      </c>
    </row>
    <row r="107">
      <c r="A107" s="0" t="inlineStr">
        <is>
          <t>Meglenka</t>
        </is>
      </c>
      <c r="B107" s="0" t="inlineStr">
        <is>
          <t>Clitocybe nebularis</t>
        </is>
      </c>
      <c r="C107" s="0" t="inlineStr">
        <is>
          <t>Pogojno užitna</t>
        </is>
      </c>
      <c r="D107" s="0" t="inlineStr">
        <is>
          <t>Okt – Dec</t>
        </is>
      </c>
      <c r="E107" s="0" t="inlineStr">
        <is>
          <t>4 – 12 °C</t>
        </is>
      </c>
      <c r="F107" s="0" t="inlineStr">
        <is>
          <t>Mešani gozdovi</t>
        </is>
      </c>
      <c r="G107" s="0" t="inlineStr">
        <is>
          <t>Mikoriza; v tleh</t>
        </is>
      </c>
      <c r="H107" s="0" t="inlineStr">
        <is>
          <t>Bogata humozna nevtralna tla (pH 6.0 - 7.0)</t>
        </is>
      </c>
      <c r="I107" s="0" t="inlineStr"/>
      <c r="J107" s="0" t="inlineStr">
        <is>
          <t>Močan, kiselkasto-plesniv ali parfumeran vonj</t>
        </is>
      </c>
      <c r="K107" s="0" t="inlineStr">
        <is>
          <t>Meso je prožno in se ne obarva</t>
        </is>
      </c>
      <c r="L107" s="0" t="inlineStr">
        <is>
          <t>Sveža priprava ali sušenje</t>
        </is>
      </c>
      <c r="M107" s="0" t="inlineStr">
        <is>
          <t>Vse višine</t>
        </is>
      </c>
      <c r="N107" s="0" t="inlineStr">
        <is>
          <t>Prisotna po celotni dolini</t>
        </is>
      </c>
      <c r="O107" s="0" t="inlineStr">
        <is>
          <t>Prehodna in široko razširjena območja (mešani gozdovi in hribovja širom doline)</t>
        </is>
      </c>
      <c r="P107" s="0" t="inlineStr">
        <is>
          <t>25-35</t>
        </is>
      </c>
      <c r="Q107" s="0" t="inlineStr">
        <is>
          <t>4-12</t>
        </is>
      </c>
      <c r="R107" s="0" t="inlineStr">
        <is>
          <t>Nizek (rade rastejo v globokem listju)</t>
        </is>
      </c>
    </row>
    <row r="108">
      <c r="A108" s="0" t="inlineStr">
        <is>
          <t>Pozna livka</t>
        </is>
      </c>
      <c r="B108" s="0" t="inlineStr">
        <is>
          <t>Infundibulicybe geotropa</t>
        </is>
      </c>
      <c r="C108" s="0" t="inlineStr">
        <is>
          <t>Užitna</t>
        </is>
      </c>
      <c r="D108" s="0" t="inlineStr">
        <is>
          <t>Avg – Nov</t>
        </is>
      </c>
      <c r="E108" s="0" t="inlineStr">
        <is>
          <t>8 – 16 °C</t>
        </is>
      </c>
      <c r="F108" s="0" t="inlineStr">
        <is>
          <t>Mešani gozdovi</t>
        </is>
      </c>
      <c r="G108" s="0" t="inlineStr">
        <is>
          <t>Mikoriza; v tleh</t>
        </is>
      </c>
      <c r="H108" s="0" t="inlineStr">
        <is>
          <t>Bogata humozna nevtralna tla (pH 6.0 - 7.0)</t>
        </is>
      </c>
      <c r="I108" s="0" t="inlineStr"/>
      <c r="J108" s="0" t="inlineStr">
        <is>
          <t>Prijeten vonj po sivki, mandljih ali senu</t>
        </is>
      </c>
      <c r="K108" s="0" t="inlineStr">
        <is>
          <t>Meso je prožno in se ne obarva</t>
        </is>
      </c>
      <c r="L108" s="0" t="inlineStr">
        <is>
          <t>Sveža priprava ali sušenje</t>
        </is>
      </c>
      <c r="M108" s="0" t="inlineStr">
        <is>
          <t>Vse višine</t>
        </is>
      </c>
      <c r="N108" s="0" t="inlineStr">
        <is>
          <t>Prisotna po celotni dolini</t>
        </is>
      </c>
      <c r="O108" s="0" t="inlineStr">
        <is>
          <t>Prehodna in široko razširjena območja (mešani gozdovi in hribovja širom doline)</t>
        </is>
      </c>
      <c r="P108" s="0" t="inlineStr">
        <is>
          <t>25-35</t>
        </is>
      </c>
      <c r="Q108" s="0" t="inlineStr">
        <is>
          <t>8-16</t>
        </is>
      </c>
      <c r="R108" s="0" t="inlineStr">
        <is>
          <t>Nizek (rade rastejo v globokem listju)</t>
        </is>
      </c>
    </row>
    <row r="109">
      <c r="A109" s="0" t="inlineStr">
        <is>
          <t>Janeževa livka</t>
        </is>
      </c>
      <c r="B109" s="0" t="inlineStr">
        <is>
          <t>Clitocybe odora</t>
        </is>
      </c>
      <c r="C109" s="0" t="inlineStr">
        <is>
          <t>Užitna</t>
        </is>
      </c>
      <c r="D109" s="0" t="inlineStr">
        <is>
          <t>Avg – Nov</t>
        </is>
      </c>
      <c r="E109" s="0" t="inlineStr">
        <is>
          <t>12 – 20 °C</t>
        </is>
      </c>
      <c r="F109" s="0" t="inlineStr">
        <is>
          <t>Mešani gozdovi</t>
        </is>
      </c>
      <c r="G109" s="0" t="inlineStr">
        <is>
          <t>Mikoriza; v tleh</t>
        </is>
      </c>
      <c r="H109" s="0" t="inlineStr">
        <is>
          <t>Bogata humozna nevtralna tla (pH 6.0 - 7.0)</t>
        </is>
      </c>
      <c r="I109" s="0" t="inlineStr"/>
      <c r="J109" s="0" t="inlineStr">
        <is>
          <t>Izjemno močan vonj po janežu (tudi po kuhanju)</t>
        </is>
      </c>
      <c r="K109" s="0" t="inlineStr">
        <is>
          <t>Zeleno-modro meso</t>
        </is>
      </c>
      <c r="L109" s="0" t="inlineStr">
        <is>
          <t>Sveža priprava ali sušenje</t>
        </is>
      </c>
      <c r="M109" s="0" t="inlineStr">
        <is>
          <t>Vse višine</t>
        </is>
      </c>
      <c r="N109" s="0" t="inlineStr">
        <is>
          <t>Prisotna po celotni dolini</t>
        </is>
      </c>
      <c r="O109" s="0" t="inlineStr">
        <is>
          <t>Prehodna in široko razširjena območja (mešani gozdovi in hribovja širom doline)</t>
        </is>
      </c>
      <c r="P109" s="0" t="inlineStr">
        <is>
          <t>25-35</t>
        </is>
      </c>
      <c r="Q109" s="0" t="inlineStr">
        <is>
          <t>12-20</t>
        </is>
      </c>
      <c r="R109" s="0" t="inlineStr">
        <is>
          <t>Nizek (rade rastejo v globokem listju)</t>
        </is>
      </c>
    </row>
    <row r="110">
      <c r="A110" s="0" t="inlineStr">
        <is>
          <t>Bela livka</t>
        </is>
      </c>
      <c r="B110" s="0" t="inlineStr">
        <is>
          <t>Clitocybe dealbata</t>
        </is>
      </c>
      <c r="C110" s="0" t="inlineStr">
        <is>
          <t>Smrtno strupena</t>
        </is>
      </c>
      <c r="D110" s="0" t="inlineStr">
        <is>
          <t>Jul – Nov</t>
        </is>
      </c>
      <c r="E110" s="0" t="inlineStr">
        <is>
          <t>10 – 18 °C</t>
        </is>
      </c>
      <c r="F110" s="0" t="inlineStr">
        <is>
          <t>Mešani gozdovi</t>
        </is>
      </c>
      <c r="G110" s="0" t="inlineStr">
        <is>
          <t>Mikoriza; v tleh</t>
        </is>
      </c>
      <c r="H110" s="0" t="inlineStr">
        <is>
          <t>Bogata humozna nevtralna tla (pH 6.0 - 7.0)</t>
        </is>
      </c>
      <c r="I110" s="0" t="inlineStr"/>
      <c r="J110" s="0" t="inlineStr">
        <is>
          <t>Sladkast, mokast vonj</t>
        </is>
      </c>
      <c r="K110" s="0" t="inlineStr">
        <is>
          <t>Meso je prožno in se ne obarva</t>
        </is>
      </c>
      <c r="L110" s="0" t="inlineStr">
        <is>
          <t>STRUPENA / NEUŽITNA (Ne nabiraj za prehrano!)</t>
        </is>
      </c>
      <c r="M110" s="0" t="inlineStr">
        <is>
          <t>Vse višine</t>
        </is>
      </c>
      <c r="N110" s="0" t="inlineStr">
        <is>
          <t>Prisotna po celotni dolini</t>
        </is>
      </c>
      <c r="O110" s="0" t="inlineStr">
        <is>
          <t>Prehodna in široko razširjena območja (mešani gozdovi in hribovja širom doline)</t>
        </is>
      </c>
      <c r="P110" s="0" t="inlineStr">
        <is>
          <t>25-35</t>
        </is>
      </c>
      <c r="Q110" s="0" t="inlineStr">
        <is>
          <t>12-20</t>
        </is>
      </c>
      <c r="R110" s="0" t="inlineStr">
        <is>
          <t>Nizek (rade rastejo v globokem listju)</t>
        </is>
      </c>
    </row>
    <row r="111">
      <c r="A111" s="0" t="inlineStr">
        <is>
          <t>Rjavkasta livka</t>
        </is>
      </c>
      <c r="B111" s="0" t="inlineStr">
        <is>
          <t>Clitocybe gibba</t>
        </is>
      </c>
      <c r="C111" s="0" t="inlineStr">
        <is>
          <t>Užitna</t>
        </is>
      </c>
      <c r="D111" s="0" t="inlineStr">
        <is>
          <t>Avg – Nov</t>
        </is>
      </c>
      <c r="E111" s="0" t="inlineStr">
        <is>
          <t>8 – 16 °C</t>
        </is>
      </c>
      <c r="F111" s="0" t="inlineStr">
        <is>
          <t>Mešani gozdovi</t>
        </is>
      </c>
      <c r="G111" s="0" t="inlineStr">
        <is>
          <t>Mikoriza; v tleh</t>
        </is>
      </c>
      <c r="H111" s="0" t="inlineStr">
        <is>
          <t>Bogata humozna nevtralna tla (pH 6.0 - 7.0)</t>
        </is>
      </c>
      <c r="I111" s="0" t="inlineStr"/>
      <c r="J111" s="0" t="inlineStr">
        <is>
          <t>Prijeten vonj po sivki, mandljih ali senu</t>
        </is>
      </c>
      <c r="K111" s="0" t="inlineStr">
        <is>
          <t>Meso je prožno in se ne obarva</t>
        </is>
      </c>
      <c r="L111" s="0" t="inlineStr">
        <is>
          <t>Sveža priprava ali sušenje</t>
        </is>
      </c>
      <c r="M111" s="0" t="inlineStr">
        <is>
          <t>Vse višine</t>
        </is>
      </c>
      <c r="N111" s="0" t="inlineStr">
        <is>
          <t>Prisotna po celotni dolini</t>
        </is>
      </c>
      <c r="O111" s="0" t="inlineStr">
        <is>
          <t>Prehodna in široko razširjena območja (mešani gozdovi in hribovja širom doline)</t>
        </is>
      </c>
      <c r="P111" s="0" t="inlineStr">
        <is>
          <t>25-35</t>
        </is>
      </c>
      <c r="Q111" s="0" t="inlineStr">
        <is>
          <t>8-16</t>
        </is>
      </c>
      <c r="R111" s="0" t="inlineStr">
        <is>
          <t>Nizek (rade rastejo v globokem listju)</t>
        </is>
      </c>
    </row>
    <row r="112">
      <c r="A112" s="0" t="inlineStr">
        <is>
          <t>Vijoličasta kolesnica</t>
        </is>
      </c>
      <c r="B112" s="0" t="inlineStr">
        <is>
          <t>Lepista nuda</t>
        </is>
      </c>
      <c r="C112" s="0" t="inlineStr">
        <is>
          <t>Pogojno užitna</t>
        </is>
      </c>
      <c r="D112" s="0" t="inlineStr">
        <is>
          <t>Okt – Dec</t>
        </is>
      </c>
      <c r="E112" s="0" t="inlineStr">
        <is>
          <t>2 – 10 °C</t>
        </is>
      </c>
      <c r="F112" s="0" t="inlineStr">
        <is>
          <t>Mešani gozdovi</t>
        </is>
      </c>
      <c r="G112" s="0" t="inlineStr">
        <is>
          <t>Mikoriza; v tleh</t>
        </is>
      </c>
      <c r="H112" s="0" t="inlineStr">
        <is>
          <t>Bogata humozna nevtralna tla (pH 6.0 - 7.0)</t>
        </is>
      </c>
      <c r="I112" s="0" t="inlineStr"/>
      <c r="J112" s="0" t="inlineStr">
        <is>
          <t>Prijeten in izrazit cvetličen vonj (parfum)</t>
        </is>
      </c>
      <c r="K112" s="0" t="inlineStr">
        <is>
          <t>Meso je prožno in se ne obarva</t>
        </is>
      </c>
      <c r="L112" s="0" t="inlineStr">
        <is>
          <t>Sveža priprava ali sušenje</t>
        </is>
      </c>
      <c r="M112" s="0" t="inlineStr">
        <is>
          <t>Vse višine</t>
        </is>
      </c>
      <c r="N112" s="0" t="inlineStr">
        <is>
          <t>Prisotna po celotni dolini</t>
        </is>
      </c>
      <c r="O112" s="0" t="inlineStr">
        <is>
          <t>Prehodna in široko razširjena območja (mešani gozdovi in hribovja širom doline)</t>
        </is>
      </c>
      <c r="P112" s="0" t="inlineStr">
        <is>
          <t>25-35</t>
        </is>
      </c>
      <c r="Q112" s="0" t="inlineStr">
        <is>
          <t>2-10</t>
        </is>
      </c>
      <c r="R112" s="0" t="inlineStr">
        <is>
          <t>Nizek (rade rastejo v globokem listju)</t>
        </is>
      </c>
    </row>
    <row r="113">
      <c r="A113" s="0" t="inlineStr">
        <is>
          <t>Dvobarvna kolesnica</t>
        </is>
      </c>
      <c r="B113" s="0" t="inlineStr">
        <is>
          <t>Lepista personata</t>
        </is>
      </c>
      <c r="C113" s="0" t="inlineStr">
        <is>
          <t>Pogojno užitna</t>
        </is>
      </c>
      <c r="D113" s="0" t="inlineStr">
        <is>
          <t>Okt – Dec</t>
        </is>
      </c>
      <c r="E113" s="0" t="inlineStr">
        <is>
          <t>2 – 10 °C</t>
        </is>
      </c>
      <c r="F113" s="0" t="inlineStr">
        <is>
          <t>Mešani gozdovi</t>
        </is>
      </c>
      <c r="G113" s="0" t="inlineStr">
        <is>
          <t>Mikoriza; v tleh</t>
        </is>
      </c>
      <c r="H113" s="0" t="inlineStr">
        <is>
          <t>Bogata humozna nevtralna tla (pH 6.0 - 7.0)</t>
        </is>
      </c>
      <c r="I113" s="0" t="inlineStr"/>
      <c r="J113" s="0" t="inlineStr">
        <is>
          <t>Prijeten in izrazit cvetličen vonj (parfum)</t>
        </is>
      </c>
      <c r="K113" s="0" t="inlineStr">
        <is>
          <t>Meso je prožno in se ne obarva</t>
        </is>
      </c>
      <c r="L113" s="0" t="inlineStr">
        <is>
          <t>Sveža priprava ali sušenje</t>
        </is>
      </c>
      <c r="M113" s="0" t="inlineStr">
        <is>
          <t>Vse višine</t>
        </is>
      </c>
      <c r="N113" s="0" t="inlineStr">
        <is>
          <t>Prisotna po celotni dolini</t>
        </is>
      </c>
      <c r="O113" s="0" t="inlineStr">
        <is>
          <t>Prehodna in široko razširjena območja (mešani gozdovi in hribovja širom doline)</t>
        </is>
      </c>
      <c r="P113" s="0" t="inlineStr">
        <is>
          <t>25-35</t>
        </is>
      </c>
      <c r="Q113" s="0" t="inlineStr">
        <is>
          <t>2-10</t>
        </is>
      </c>
      <c r="R113" s="0" t="inlineStr">
        <is>
          <t>Nizek (rade rastejo v globokem listju)</t>
        </is>
      </c>
    </row>
    <row r="114">
      <c r="A114" s="0" t="inlineStr">
        <is>
          <t>Dišeča kolesnica</t>
        </is>
      </c>
      <c r="B114" s="0" t="inlineStr">
        <is>
          <t>Lepista irina</t>
        </is>
      </c>
      <c r="C114" s="0" t="inlineStr">
        <is>
          <t>Pogojno užitna</t>
        </is>
      </c>
      <c r="D114" s="0" t="inlineStr">
        <is>
          <t>Jul – Okt</t>
        </is>
      </c>
      <c r="E114" s="0" t="inlineStr">
        <is>
          <t>12 – 20 °C</t>
        </is>
      </c>
      <c r="F114" s="0" t="inlineStr">
        <is>
          <t>Mešani gozdovi</t>
        </is>
      </c>
      <c r="G114" s="0" t="inlineStr">
        <is>
          <t>Mikoriza; v tleh</t>
        </is>
      </c>
      <c r="H114" s="0" t="inlineStr">
        <is>
          <t>Bogata humozna nevtralna tla (pH 6.0 - 7.0)</t>
        </is>
      </c>
      <c r="I114" s="0" t="inlineStr"/>
      <c r="J114" s="0" t="inlineStr">
        <is>
          <t>Vonj po perunikah ali vijolicah</t>
        </is>
      </c>
      <c r="K114" s="0" t="inlineStr">
        <is>
          <t>Meso je prožno in se ne obarva</t>
        </is>
      </c>
      <c r="L114" s="0" t="inlineStr">
        <is>
          <t>Sveža priprava ali sušenje</t>
        </is>
      </c>
      <c r="M114" s="0" t="inlineStr">
        <is>
          <t>Vse višine</t>
        </is>
      </c>
      <c r="N114" s="0" t="inlineStr">
        <is>
          <t>Prisotna po celotni dolini</t>
        </is>
      </c>
      <c r="O114" s="0" t="inlineStr">
        <is>
          <t>Prehodna in široko razširjena območja (mešani gozdovi in hribovja širom doline)</t>
        </is>
      </c>
      <c r="P114" s="0" t="inlineStr">
        <is>
          <t>25-35</t>
        </is>
      </c>
      <c r="Q114" s="0" t="inlineStr">
        <is>
          <t>12-20</t>
        </is>
      </c>
      <c r="R114" s="0" t="inlineStr">
        <is>
          <t>Nizek (rade rastejo v globokem listju)</t>
        </is>
      </c>
    </row>
    <row r="115">
      <c r="A115" s="0" t="inlineStr">
        <is>
          <t>Gola kolesnica</t>
        </is>
      </c>
      <c r="B115" s="0" t="inlineStr">
        <is>
          <t>Lepista glaucocana</t>
        </is>
      </c>
      <c r="C115" s="0" t="inlineStr">
        <is>
          <t>Pogojno užitna</t>
        </is>
      </c>
      <c r="D115" s="0" t="inlineStr">
        <is>
          <t>Okt – Dec</t>
        </is>
      </c>
      <c r="E115" s="0" t="inlineStr">
        <is>
          <t>2 – 10 °C</t>
        </is>
      </c>
      <c r="F115" s="0" t="inlineStr">
        <is>
          <t>Mešani gozdovi</t>
        </is>
      </c>
      <c r="G115" s="0" t="inlineStr">
        <is>
          <t>Mikoriza; v tleh</t>
        </is>
      </c>
      <c r="H115" s="0" t="inlineStr">
        <is>
          <t>Bogata humozna nevtralna tla (pH 6.0 - 7.0)</t>
        </is>
      </c>
      <c r="I115" s="0" t="inlineStr"/>
      <c r="J115" s="0" t="inlineStr">
        <is>
          <t>Prijeten in izrazit cvetličen vonj (parfum)</t>
        </is>
      </c>
      <c r="K115" s="0" t="inlineStr">
        <is>
          <t>Meso je prožno in se ne obarva</t>
        </is>
      </c>
      <c r="L115" s="0" t="inlineStr">
        <is>
          <t>Sveža priprava ali sušenje</t>
        </is>
      </c>
      <c r="M115" s="0" t="inlineStr">
        <is>
          <t>Vse višine</t>
        </is>
      </c>
      <c r="N115" s="0" t="inlineStr">
        <is>
          <t>Prisotna po celotni dolini</t>
        </is>
      </c>
      <c r="O115" s="0" t="inlineStr">
        <is>
          <t>Prehodna in široko razširjena območja (mešani gozdovi in hribovja širom doline)</t>
        </is>
      </c>
      <c r="P115" s="0" t="inlineStr">
        <is>
          <t>25-35</t>
        </is>
      </c>
      <c r="Q115" s="0" t="inlineStr">
        <is>
          <t>2-10</t>
        </is>
      </c>
      <c r="R115" s="0" t="inlineStr">
        <is>
          <t>Nizek (rade rastejo v globokem listju)</t>
        </is>
      </c>
    </row>
    <row r="116">
      <c r="A116" s="0" t="inlineStr">
        <is>
          <t>Sivkasta kolesnica</t>
        </is>
      </c>
      <c r="B116" s="0" t="inlineStr">
        <is>
          <t>Lepista luscina</t>
        </is>
      </c>
      <c r="C116" s="0" t="inlineStr">
        <is>
          <t>Užitna</t>
        </is>
      </c>
      <c r="D116" s="0" t="inlineStr">
        <is>
          <t>Jul – Okt</t>
        </is>
      </c>
      <c r="E116" s="0" t="inlineStr">
        <is>
          <t>12 – 20 °C</t>
        </is>
      </c>
      <c r="F116" s="0" t="inlineStr">
        <is>
          <t>Mešani gozdovi</t>
        </is>
      </c>
      <c r="G116" s="0" t="inlineStr">
        <is>
          <t>Mikoriza; v tleh</t>
        </is>
      </c>
      <c r="H116" s="0" t="inlineStr">
        <is>
          <t>Bogata humozna nevtralna tla (pH 6.0 - 7.0)</t>
        </is>
      </c>
      <c r="I116" s="0" t="inlineStr"/>
      <c r="J116" s="0" t="inlineStr">
        <is>
          <t>Značilen po gobah</t>
        </is>
      </c>
      <c r="K116" s="0" t="inlineStr">
        <is>
          <t>Meso je prožno in se ne obarva</t>
        </is>
      </c>
      <c r="L116" s="0" t="inlineStr">
        <is>
          <t>Sveža priprava ali sušenje</t>
        </is>
      </c>
      <c r="M116" s="0" t="inlineStr">
        <is>
          <t>Vse višine</t>
        </is>
      </c>
      <c r="N116" s="0" t="inlineStr">
        <is>
          <t>Prisotna po celotni dolini</t>
        </is>
      </c>
      <c r="O116" s="0" t="inlineStr">
        <is>
          <t>Prehodna in široko razširjena območja (mešani gozdovi in hribovja širom doline)</t>
        </is>
      </c>
      <c r="P116" s="0" t="inlineStr">
        <is>
          <t>25-35</t>
        </is>
      </c>
      <c r="Q116" s="0" t="inlineStr">
        <is>
          <t>12-20</t>
        </is>
      </c>
      <c r="R116" s="0" t="inlineStr">
        <is>
          <t>Nizek (rade rastejo v globokem listju)</t>
        </is>
      </c>
    </row>
    <row r="117">
      <c r="A117" s="0" t="inlineStr">
        <is>
          <t>Krvavordeča koprenka</t>
        </is>
      </c>
      <c r="B117" s="0" t="inlineStr">
        <is>
          <t>Cortinarius sanguineus</t>
        </is>
      </c>
      <c r="C117" s="0" t="inlineStr">
        <is>
          <t>Strupena</t>
        </is>
      </c>
      <c r="D117" s="0" t="inlineStr">
        <is>
          <t>Avg – Nov</t>
        </is>
      </c>
      <c r="E117" s="0" t="inlineStr">
        <is>
          <t>8 – 16 °C</t>
        </is>
      </c>
      <c r="F117" s="0" t="inlineStr">
        <is>
          <t>Mešani gozdovi</t>
        </is>
      </c>
      <c r="G117" s="0" t="inlineStr">
        <is>
          <t>Mikoriza; v tleh</t>
        </is>
      </c>
      <c r="H117" s="0" t="inlineStr">
        <is>
          <t>Bogata humozna nevtralna tla (pH 6.0 - 7.0)</t>
        </is>
      </c>
      <c r="I117" s="0" t="inlineStr">
        <is>
          <t>Zelo nevarna zamenjava s strupenimi koprenkami!</t>
        </is>
      </c>
      <c r="J117" s="0" t="inlineStr">
        <is>
          <t>Vonj po redkvici, jodu ali zemlji</t>
        </is>
      </c>
      <c r="K117" s="0" t="inlineStr">
        <is>
          <t>Meso pogosto rjavkasto, vijolično ali oker, barve ne spreminja sunkovito</t>
        </is>
      </c>
      <c r="L117" s="0" t="inlineStr">
        <is>
          <t>STRUPENA / NEUŽITNA (Ne nabiraj za prehrano!)</t>
        </is>
      </c>
      <c r="M117" s="0" t="inlineStr">
        <is>
          <t>Vse višine</t>
        </is>
      </c>
      <c r="N117" s="0" t="inlineStr">
        <is>
          <t>Prisotna po celotni dolini</t>
        </is>
      </c>
      <c r="O117" s="0" t="inlineStr">
        <is>
          <t>Prehodna in široko razširjena območja (mešani gozdovi in hribovja širom doline)</t>
        </is>
      </c>
      <c r="P117" s="0" t="inlineStr">
        <is>
          <t>30-40</t>
        </is>
      </c>
      <c r="Q117" s="0" t="inlineStr">
        <is>
          <t>8-16</t>
        </is>
      </c>
      <c r="R117" s="0" t="inlineStr">
        <is>
          <t>Srednji</t>
        </is>
      </c>
    </row>
    <row r="118">
      <c r="A118" s="0" t="inlineStr">
        <is>
          <t>Cimetasta koprenka</t>
        </is>
      </c>
      <c r="B118" s="0" t="inlineStr">
        <is>
          <t>Cortinarius cinnamomeus</t>
        </is>
      </c>
      <c r="C118" s="0" t="inlineStr">
        <is>
          <t>Strupena</t>
        </is>
      </c>
      <c r="D118" s="0" t="inlineStr">
        <is>
          <t>Avg – Nov</t>
        </is>
      </c>
      <c r="E118" s="0" t="inlineStr">
        <is>
          <t>8 – 16 °C</t>
        </is>
      </c>
      <c r="F118" s="0" t="inlineStr">
        <is>
          <t>Mešani gozdovi</t>
        </is>
      </c>
      <c r="G118" s="0" t="inlineStr">
        <is>
          <t>Mikoriza; v tleh</t>
        </is>
      </c>
      <c r="H118" s="0" t="inlineStr">
        <is>
          <t>Bogata humozna nevtralna tla (pH 6.0 - 7.0)</t>
        </is>
      </c>
      <c r="I118" s="0" t="inlineStr">
        <is>
          <t>Zelo nevarna zamenjava s strupenimi koprenkami!</t>
        </is>
      </c>
      <c r="J118" s="0" t="inlineStr">
        <is>
          <t>Vonj po redkvici, jodu ali zemlji</t>
        </is>
      </c>
      <c r="K118" s="0" t="inlineStr">
        <is>
          <t>Meso pogosto rjavkasto, vijolično ali oker, barve ne spreminja sunkovito</t>
        </is>
      </c>
      <c r="L118" s="0" t="inlineStr">
        <is>
          <t>STRUPENA / NEUŽITNA (Ne nabiraj za prehrano!)</t>
        </is>
      </c>
      <c r="M118" s="0" t="inlineStr">
        <is>
          <t>Vse višine</t>
        </is>
      </c>
      <c r="N118" s="0" t="inlineStr">
        <is>
          <t>Prisotna po celotni dolini</t>
        </is>
      </c>
      <c r="O118" s="0" t="inlineStr">
        <is>
          <t>Prehodna in široko razširjena območja (mešani gozdovi in hribovja širom doline)</t>
        </is>
      </c>
      <c r="P118" s="0" t="inlineStr">
        <is>
          <t>30-40</t>
        </is>
      </c>
      <c r="Q118" s="0" t="inlineStr">
        <is>
          <t>8-16</t>
        </is>
      </c>
      <c r="R118" s="0" t="inlineStr">
        <is>
          <t>Srednji</t>
        </is>
      </c>
    </row>
    <row r="119">
      <c r="A119" s="0" t="inlineStr">
        <is>
          <t>Poljska koprenka</t>
        </is>
      </c>
      <c r="B119" s="0" t="inlineStr">
        <is>
          <t>Cortinarius orellanus</t>
        </is>
      </c>
      <c r="C119" s="0" t="inlineStr">
        <is>
          <t>Smrtno strupena</t>
        </is>
      </c>
      <c r="D119" s="0" t="inlineStr">
        <is>
          <t>Jul – Okt</t>
        </is>
      </c>
      <c r="E119" s="0" t="inlineStr">
        <is>
          <t>12 – 20 °C</t>
        </is>
      </c>
      <c r="F119" s="0" t="inlineStr">
        <is>
          <t>Mešani gozdovi</t>
        </is>
      </c>
      <c r="G119" s="0" t="inlineStr">
        <is>
          <t>Mikoriza; v tleh</t>
        </is>
      </c>
      <c r="H119" s="0" t="inlineStr">
        <is>
          <t>Bogata humozna nevtralna tla (pH 6.0 - 7.0)</t>
        </is>
      </c>
      <c r="I119" s="0" t="inlineStr">
        <is>
          <t>Zelo nevarna zamenjava s strupenimi koprenkami!</t>
        </is>
      </c>
      <c r="J119" s="0" t="inlineStr">
        <is>
          <t>Redkvast vonj, okus blag (zavajajoč)</t>
        </is>
      </c>
      <c r="K119" s="0" t="inlineStr">
        <is>
          <t>Meso pogosto rjavkasto, vijolično ali oker, barve ne spreminja sunkovito</t>
        </is>
      </c>
      <c r="L119" s="0" t="inlineStr">
        <is>
          <t>STRUPENA / NEUŽITNA (Ne nabiraj za prehrano!)</t>
        </is>
      </c>
      <c r="M119" s="0" t="inlineStr">
        <is>
          <t>Vse višine</t>
        </is>
      </c>
      <c r="N119" s="0" t="inlineStr">
        <is>
          <t>Prisotna po celotni dolini</t>
        </is>
      </c>
      <c r="O119" s="0" t="inlineStr">
        <is>
          <t>Prehodna in široko razširjena območja (mešani gozdovi in hribovja širom doline)</t>
        </is>
      </c>
      <c r="P119" s="0" t="inlineStr">
        <is>
          <t>30-40</t>
        </is>
      </c>
      <c r="Q119" s="0" t="inlineStr">
        <is>
          <t>12-20</t>
        </is>
      </c>
      <c r="R119" s="0" t="inlineStr">
        <is>
          <t>Srednji</t>
        </is>
      </c>
    </row>
    <row r="120">
      <c r="A120" s="0" t="inlineStr">
        <is>
          <t>Lepljiva koprenka</t>
        </is>
      </c>
      <c r="B120" s="0" t="inlineStr">
        <is>
          <t>Cortinarius mucosus</t>
        </is>
      </c>
      <c r="C120" s="0" t="inlineStr">
        <is>
          <t>Užitna</t>
        </is>
      </c>
      <c r="D120" s="0" t="inlineStr">
        <is>
          <t>Sep – Nov</t>
        </is>
      </c>
      <c r="E120" s="0" t="inlineStr">
        <is>
          <t>6 – 14 °C</t>
        </is>
      </c>
      <c r="F120" s="0" t="inlineStr">
        <is>
          <t>Mešani gozdovi</t>
        </is>
      </c>
      <c r="G120" s="0" t="inlineStr">
        <is>
          <t>Mikoriza; v tleh</t>
        </is>
      </c>
      <c r="H120" s="0" t="inlineStr">
        <is>
          <t>Bogata humozna nevtralna tla (pH 6.0 - 7.0)</t>
        </is>
      </c>
      <c r="I120" s="0" t="inlineStr">
        <is>
          <t>Zelo nevarna zamenjava s strupenimi koprenkami!</t>
        </is>
      </c>
      <c r="J120" s="0" t="inlineStr">
        <is>
          <t>Blag, nevtralen</t>
        </is>
      </c>
      <c r="K120" s="0" t="inlineStr">
        <is>
          <t>Meso belkasto</t>
        </is>
      </c>
      <c r="L120" s="0" t="inlineStr">
        <is>
          <t>Obvezno olupiti debelo plast sluzi pred pripravo.</t>
        </is>
      </c>
      <c r="M120" s="0" t="inlineStr">
        <is>
          <t>Vse višine</t>
        </is>
      </c>
      <c r="N120" s="0" t="inlineStr">
        <is>
          <t>Prisotna po celotni dolini</t>
        </is>
      </c>
      <c r="O120" s="0" t="inlineStr">
        <is>
          <t>Prehodna in široko razširjena območja (mešani gozdovi in hribovja širom doline)</t>
        </is>
      </c>
      <c r="P120" s="0" t="inlineStr">
        <is>
          <t>30-40</t>
        </is>
      </c>
      <c r="Q120" s="0" t="inlineStr">
        <is>
          <t>6-14</t>
        </is>
      </c>
      <c r="R120" s="0" t="inlineStr">
        <is>
          <t>Srednji</t>
        </is>
      </c>
    </row>
    <row r="121">
      <c r="A121" s="0" t="inlineStr">
        <is>
          <t>Zvončasta koprenka</t>
        </is>
      </c>
      <c r="B121" s="0" t="inlineStr">
        <is>
          <t>Cortinarius traganus</t>
        </is>
      </c>
      <c r="C121" s="0" t="inlineStr">
        <is>
          <t>Neužitna</t>
        </is>
      </c>
      <c r="D121" s="0" t="inlineStr">
        <is>
          <t>Avg – Okt</t>
        </is>
      </c>
      <c r="E121" s="0" t="inlineStr">
        <is>
          <t>10 – 18 °C</t>
        </is>
      </c>
      <c r="F121" s="0" t="inlineStr">
        <is>
          <t>Mešani gozdovi</t>
        </is>
      </c>
      <c r="G121" s="0" t="inlineStr">
        <is>
          <t>Mikoriza; v tleh</t>
        </is>
      </c>
      <c r="H121" s="0" t="inlineStr">
        <is>
          <t>Bogata humozna nevtralna tla (pH 6.0 - 7.0)</t>
        </is>
      </c>
      <c r="I121" s="0" t="inlineStr">
        <is>
          <t>Zelo nevarna zamenjava s strupenimi koprenkami!</t>
        </is>
      </c>
      <c r="J121" s="0" t="inlineStr">
        <is>
          <t>Smrdi po acetilenu, gnilem sadju ali zažgani gumi</t>
        </is>
      </c>
      <c r="K121" s="0" t="inlineStr">
        <is>
          <t>Rjavkasto ali lila meso</t>
        </is>
      </c>
      <c r="L121" s="0" t="inlineStr">
        <is>
          <t>STRUPENA / NEUŽITNA (Ne nabiraj za prehrano!)</t>
        </is>
      </c>
      <c r="M121" s="0" t="inlineStr">
        <is>
          <t>Vse višine</t>
        </is>
      </c>
      <c r="N121" s="0" t="inlineStr">
        <is>
          <t>Prisotna po celotni dolini</t>
        </is>
      </c>
      <c r="O121" s="0" t="inlineStr">
        <is>
          <t>Prehodna in široko razširjena območja (mešani gozdovi in hribovja širom doline)</t>
        </is>
      </c>
      <c r="P121" s="0" t="inlineStr">
        <is>
          <t>30-40</t>
        </is>
      </c>
      <c r="Q121" s="0" t="inlineStr">
        <is>
          <t>10-18</t>
        </is>
      </c>
      <c r="R121" s="0" t="inlineStr">
        <is>
          <t>Srednji</t>
        </is>
      </c>
    </row>
    <row r="122">
      <c r="A122" s="0" t="inlineStr">
        <is>
          <t>Sluzava koprenka</t>
        </is>
      </c>
      <c r="B122" s="0" t="inlineStr">
        <is>
          <t>Cortinarius collinitus</t>
        </is>
      </c>
      <c r="C122" s="0" t="inlineStr">
        <is>
          <t>Užitna</t>
        </is>
      </c>
      <c r="D122" s="0" t="inlineStr">
        <is>
          <t>Sep – Nov</t>
        </is>
      </c>
      <c r="E122" s="0" t="inlineStr">
        <is>
          <t>6 – 14 °C</t>
        </is>
      </c>
      <c r="F122" s="0" t="inlineStr">
        <is>
          <t>Mešani gozdovi</t>
        </is>
      </c>
      <c r="G122" s="0" t="inlineStr">
        <is>
          <t>Mikoriza; v tleh</t>
        </is>
      </c>
      <c r="H122" s="0" t="inlineStr">
        <is>
          <t>Bogata humozna nevtralna tla (pH 6.0 - 7.0)</t>
        </is>
      </c>
      <c r="I122" s="0" t="inlineStr">
        <is>
          <t>Zelo nevarna zamenjava s strupenimi koprenkami!</t>
        </is>
      </c>
      <c r="J122" s="0" t="inlineStr">
        <is>
          <t>Blag, nevtralen</t>
        </is>
      </c>
      <c r="K122" s="0" t="inlineStr">
        <is>
          <t>Meso belkasto</t>
        </is>
      </c>
      <c r="L122" s="0" t="inlineStr">
        <is>
          <t>Obvezno olupiti debelo plast sluzi pred pripravo.</t>
        </is>
      </c>
      <c r="M122" s="0" t="inlineStr">
        <is>
          <t>Vse višine</t>
        </is>
      </c>
      <c r="N122" s="0" t="inlineStr">
        <is>
          <t>Prisotna po celotni dolini</t>
        </is>
      </c>
      <c r="O122" s="0" t="inlineStr">
        <is>
          <t>Prehodna in široko razširjena območja (mešani gozdovi in hribovja širom doline)</t>
        </is>
      </c>
      <c r="P122" s="0" t="inlineStr">
        <is>
          <t>30-40</t>
        </is>
      </c>
      <c r="Q122" s="0" t="inlineStr">
        <is>
          <t>6-14</t>
        </is>
      </c>
      <c r="R122" s="0" t="inlineStr">
        <is>
          <t>Srednji</t>
        </is>
      </c>
    </row>
    <row r="123">
      <c r="A123" s="0" t="inlineStr">
        <is>
          <t>Modrikasta koprenka</t>
        </is>
      </c>
      <c r="B123" s="0" t="inlineStr">
        <is>
          <t>Cortinarius violaceus</t>
        </is>
      </c>
      <c r="C123" s="0" t="inlineStr">
        <is>
          <t>Užitna</t>
        </is>
      </c>
      <c r="D123" s="0" t="inlineStr">
        <is>
          <t>Jul – Okt</t>
        </is>
      </c>
      <c r="E123" s="0" t="inlineStr">
        <is>
          <t>12 – 20 °C</t>
        </is>
      </c>
      <c r="F123" s="0" t="inlineStr">
        <is>
          <t>Mešani gozdovi</t>
        </is>
      </c>
      <c r="G123" s="0" t="inlineStr">
        <is>
          <t>Mikoriza; v tleh</t>
        </is>
      </c>
      <c r="H123" s="0" t="inlineStr">
        <is>
          <t>Bogata humozna nevtralna tla (pH 6.0 - 7.0)</t>
        </is>
      </c>
      <c r="I123" s="0" t="inlineStr">
        <is>
          <t>Zelo nevarna zamenjava s strupenimi koprenkami!</t>
        </is>
      </c>
      <c r="J123" s="0" t="inlineStr">
        <is>
          <t>Vonj po cedrovini ali starem usnju</t>
        </is>
      </c>
      <c r="K123" s="0" t="inlineStr">
        <is>
          <t>Meso je temno vijolično</t>
        </is>
      </c>
      <c r="L123" s="0" t="inlineStr">
        <is>
          <t>Sveža priprava ali sušenje</t>
        </is>
      </c>
      <c r="M123" s="0" t="inlineStr">
        <is>
          <t>Vse višine</t>
        </is>
      </c>
      <c r="N123" s="0" t="inlineStr">
        <is>
          <t>Prisotna po celotni dolini</t>
        </is>
      </c>
      <c r="O123" s="0" t="inlineStr">
        <is>
          <t>Prehodna in široko razširjena območja (mešani gozdovi in hribovja širom doline)</t>
        </is>
      </c>
      <c r="P123" s="0" t="inlineStr">
        <is>
          <t>30-40</t>
        </is>
      </c>
      <c r="Q123" s="0" t="inlineStr">
        <is>
          <t>12-20</t>
        </is>
      </c>
      <c r="R123" s="0" t="inlineStr">
        <is>
          <t>Srednji</t>
        </is>
      </c>
    </row>
    <row r="124">
      <c r="A124" s="0" t="inlineStr">
        <is>
          <t>Anisova koprenka</t>
        </is>
      </c>
      <c r="B124" s="0" t="inlineStr">
        <is>
          <t>Cortinarius odorifer</t>
        </is>
      </c>
      <c r="C124" s="0" t="inlineStr">
        <is>
          <t>Užitna</t>
        </is>
      </c>
      <c r="D124" s="0" t="inlineStr">
        <is>
          <t>Jul – Okt</t>
        </is>
      </c>
      <c r="E124" s="0" t="inlineStr">
        <is>
          <t>12 – 20 °C</t>
        </is>
      </c>
      <c r="F124" s="0" t="inlineStr">
        <is>
          <t>Mešani gozdovi</t>
        </is>
      </c>
      <c r="G124" s="0" t="inlineStr">
        <is>
          <t>Mikoriza; v tleh</t>
        </is>
      </c>
      <c r="H124" s="0" t="inlineStr">
        <is>
          <t>Bogata humozna nevtralna tla (pH 6.0 - 7.0)</t>
        </is>
      </c>
      <c r="I124" s="0" t="inlineStr">
        <is>
          <t>Zelo nevarna zamenjava s strupenimi koprenkami!</t>
        </is>
      </c>
      <c r="J124" s="0" t="inlineStr">
        <is>
          <t>Izrazit vonj po janežu</t>
        </is>
      </c>
      <c r="K124" s="0" t="inlineStr">
        <is>
          <t>Rumeno-zelenkasto meso</t>
        </is>
      </c>
      <c r="L124" s="0" t="inlineStr">
        <is>
          <t>Sveža priprava ali sušenje</t>
        </is>
      </c>
      <c r="M124" s="0" t="inlineStr">
        <is>
          <t>Vse višine</t>
        </is>
      </c>
      <c r="N124" s="0" t="inlineStr">
        <is>
          <t>Prisotna po celotni dolini</t>
        </is>
      </c>
      <c r="O124" s="0" t="inlineStr">
        <is>
          <t>Prehodna in široko razširjena območja (mešani gozdovi in hribovja širom doline)</t>
        </is>
      </c>
      <c r="P124" s="0" t="inlineStr">
        <is>
          <t>30-40</t>
        </is>
      </c>
      <c r="Q124" s="0" t="inlineStr">
        <is>
          <t>12-20</t>
        </is>
      </c>
      <c r="R124" s="0" t="inlineStr">
        <is>
          <t>Srednji</t>
        </is>
      </c>
    </row>
    <row r="125">
      <c r="A125" s="0" t="inlineStr">
        <is>
          <t>Smrdljiva koprenka</t>
        </is>
      </c>
      <c r="B125" s="0" t="inlineStr">
        <is>
          <t>Cortinarius camphoratus</t>
        </is>
      </c>
      <c r="C125" s="0" t="inlineStr">
        <is>
          <t>Neužitna</t>
        </is>
      </c>
      <c r="D125" s="0" t="inlineStr">
        <is>
          <t>Avg – Okt</t>
        </is>
      </c>
      <c r="E125" s="0" t="inlineStr">
        <is>
          <t>10 – 18 °C</t>
        </is>
      </c>
      <c r="F125" s="0" t="inlineStr">
        <is>
          <t>Mešani gozdovi</t>
        </is>
      </c>
      <c r="G125" s="0" t="inlineStr">
        <is>
          <t>Mikoriza; v tleh</t>
        </is>
      </c>
      <c r="H125" s="0" t="inlineStr">
        <is>
          <t>Bogata humozna nevtralna tla (pH 6.0 - 7.0)</t>
        </is>
      </c>
      <c r="I125" s="0" t="inlineStr">
        <is>
          <t>Zelo nevarna zamenjava s strupenimi koprenkami!</t>
        </is>
      </c>
      <c r="J125" s="0" t="inlineStr">
        <is>
          <t>Smrdi po acetilenu, gnilem sadju ali zažgani gumi</t>
        </is>
      </c>
      <c r="K125" s="0" t="inlineStr">
        <is>
          <t>Rjavkasto ali lila meso</t>
        </is>
      </c>
      <c r="L125" s="0" t="inlineStr">
        <is>
          <t>STRUPENA / NEUŽITNA (Ne nabiraj za prehrano!)</t>
        </is>
      </c>
      <c r="M125" s="0" t="inlineStr">
        <is>
          <t>Vse višine</t>
        </is>
      </c>
      <c r="N125" s="0" t="inlineStr">
        <is>
          <t>Prisotna po celotni dolini</t>
        </is>
      </c>
      <c r="O125" s="0" t="inlineStr">
        <is>
          <t>Prehodna in široko razširjena območja (mešani gozdovi in hribovja širom doline)</t>
        </is>
      </c>
      <c r="P125" s="0" t="inlineStr">
        <is>
          <t>30-40</t>
        </is>
      </c>
      <c r="Q125" s="0" t="inlineStr">
        <is>
          <t>10-18</t>
        </is>
      </c>
      <c r="R125" s="0" t="inlineStr">
        <is>
          <t>Srednji</t>
        </is>
      </c>
    </row>
    <row r="126">
      <c r="A126" s="0" t="inlineStr">
        <is>
          <t>Rjava koprenka</t>
        </is>
      </c>
      <c r="B126" s="0" t="inlineStr">
        <is>
          <t>Cortinarius bolaris</t>
        </is>
      </c>
      <c r="C126" s="0" t="inlineStr">
        <is>
          <t>Strupena</t>
        </is>
      </c>
      <c r="D126" s="0" t="inlineStr">
        <is>
          <t>Avg – Nov</t>
        </is>
      </c>
      <c r="E126" s="0" t="inlineStr">
        <is>
          <t>8 – 16 °C</t>
        </is>
      </c>
      <c r="F126" s="0" t="inlineStr">
        <is>
          <t>Mešani gozdovi</t>
        </is>
      </c>
      <c r="G126" s="0" t="inlineStr">
        <is>
          <t>Mikoriza; v tleh</t>
        </is>
      </c>
      <c r="H126" s="0" t="inlineStr">
        <is>
          <t>Bogata humozna nevtralna tla (pH 6.0 - 7.0)</t>
        </is>
      </c>
      <c r="I126" s="0" t="inlineStr">
        <is>
          <t>Zelo nevarna zamenjava s strupenimi koprenkami!</t>
        </is>
      </c>
      <c r="J126" s="0" t="inlineStr">
        <is>
          <t>Vonj po redkvici, jodu ali zemlji</t>
        </is>
      </c>
      <c r="K126" s="0" t="inlineStr">
        <is>
          <t>Meso pogosto rjavkasto, vijolično ali oker, barve ne spreminja sunkovito</t>
        </is>
      </c>
      <c r="L126" s="0" t="inlineStr">
        <is>
          <t>STRUPENA / NEUŽITNA (Ne nabiraj za prehrano!)</t>
        </is>
      </c>
      <c r="M126" s="0" t="inlineStr">
        <is>
          <t>Vse višine</t>
        </is>
      </c>
      <c r="N126" s="0" t="inlineStr">
        <is>
          <t>Prisotna po celotni dolini</t>
        </is>
      </c>
      <c r="O126" s="0" t="inlineStr">
        <is>
          <t>Prehodna in široko razširjena območja (mešani gozdovi in hribovja širom doline)</t>
        </is>
      </c>
      <c r="P126" s="0" t="inlineStr">
        <is>
          <t>30-40</t>
        </is>
      </c>
      <c r="Q126" s="0" t="inlineStr">
        <is>
          <t>8-16</t>
        </is>
      </c>
      <c r="R126" s="0" t="inlineStr">
        <is>
          <t>Srednji</t>
        </is>
      </c>
    </row>
    <row r="127">
      <c r="A127" s="0" t="inlineStr">
        <is>
          <t>Marčna polževka</t>
        </is>
      </c>
      <c r="B127" s="0" t="inlineStr">
        <is>
          <t>Hygrophorus marzuolus</t>
        </is>
      </c>
      <c r="C127" s="0" t="inlineStr">
        <is>
          <t>Užitna</t>
        </is>
      </c>
      <c r="D127" s="0" t="inlineStr">
        <is>
          <t>Mar – Maj</t>
        </is>
      </c>
      <c r="E127" s="0" t="inlineStr">
        <is>
          <t>4 – 10 °C</t>
        </is>
      </c>
      <c r="F127" s="0" t="inlineStr">
        <is>
          <t>Mešani gozdovi</t>
        </is>
      </c>
      <c r="G127" s="0" t="inlineStr">
        <is>
          <t>Mikoriza; v tleh</t>
        </is>
      </c>
      <c r="H127" s="0" t="inlineStr">
        <is>
          <t>Bogata humozna nevtralna tla (pH 6.0 - 7.0)</t>
        </is>
      </c>
      <c r="I127" s="0" t="inlineStr"/>
      <c r="J127" s="0" t="inlineStr">
        <is>
          <t>Blag, prijeten, rahel vonj po moki</t>
        </is>
      </c>
      <c r="K127" s="0" t="inlineStr">
        <is>
          <t>Ne spreminja barve</t>
        </is>
      </c>
      <c r="L127" s="0" t="inlineStr">
        <is>
          <t>Odlična sveža (pražena, juhe), zamrzovanje.</t>
        </is>
      </c>
      <c r="M127" s="0" t="inlineStr">
        <is>
          <t>Vse višine</t>
        </is>
      </c>
      <c r="N127" s="0" t="inlineStr">
        <is>
          <t>Prisotna po celotni dolini</t>
        </is>
      </c>
      <c r="O127" s="0" t="inlineStr">
        <is>
          <t>Prehodna in široko razširjena območja (mešani gozdovi in hribovja širom doline)</t>
        </is>
      </c>
      <c r="P127" s="0" t="inlineStr">
        <is>
          <t>25-35</t>
        </is>
      </c>
      <c r="Q127" s="0" t="inlineStr">
        <is>
          <t>4-10</t>
        </is>
      </c>
      <c r="R127" s="0" t="inlineStr">
        <is>
          <t>Srednji</t>
        </is>
      </c>
    </row>
    <row r="128">
      <c r="A128" s="0" t="inlineStr">
        <is>
          <t>Zimska polževka</t>
        </is>
      </c>
      <c r="B128" s="0" t="inlineStr">
        <is>
          <t>Hygrophorus hypothejus</t>
        </is>
      </c>
      <c r="C128" s="0" t="inlineStr">
        <is>
          <t>Užitna</t>
        </is>
      </c>
      <c r="D128" s="0" t="inlineStr">
        <is>
          <t>Okt – Dec</t>
        </is>
      </c>
      <c r="E128" s="0" t="inlineStr">
        <is>
          <t>2 – 8 °C</t>
        </is>
      </c>
      <c r="F128" s="0" t="inlineStr">
        <is>
          <t>Mešani gozdovi</t>
        </is>
      </c>
      <c r="G128" s="0" t="inlineStr">
        <is>
          <t>Mikoriza; v tleh</t>
        </is>
      </c>
      <c r="H128" s="0" t="inlineStr">
        <is>
          <t>Bogata humozna nevtralna tla (pH 6.0 - 7.0)</t>
        </is>
      </c>
      <c r="I128" s="0" t="inlineStr"/>
      <c r="J128" s="0" t="inlineStr">
        <is>
          <t>Blag, rahlo saden</t>
        </is>
      </c>
      <c r="K128" s="0" t="inlineStr">
        <is>
          <t>Ne spreminja barve</t>
        </is>
      </c>
      <c r="L128" s="0" t="inlineStr">
        <is>
          <t>Sveža priprava ali sušenje</t>
        </is>
      </c>
      <c r="M128" s="0" t="inlineStr">
        <is>
          <t>Vse višine</t>
        </is>
      </c>
      <c r="N128" s="0" t="inlineStr">
        <is>
          <t>Prisotna po celotni dolini</t>
        </is>
      </c>
      <c r="O128" s="0" t="inlineStr">
        <is>
          <t>Prehodna in široko razširjena območja (mešani gozdovi in hribovja širom doline)</t>
        </is>
      </c>
      <c r="P128" s="0" t="inlineStr">
        <is>
          <t>25-35</t>
        </is>
      </c>
      <c r="Q128" s="0" t="inlineStr">
        <is>
          <t>4-10</t>
        </is>
      </c>
      <c r="R128" s="0" t="inlineStr">
        <is>
          <t>Srednji</t>
        </is>
      </c>
    </row>
    <row r="129">
      <c r="A129" s="0" t="inlineStr">
        <is>
          <t>Medena polževka</t>
        </is>
      </c>
      <c r="B129" s="0" t="inlineStr">
        <is>
          <t>Hygrophorus russula</t>
        </is>
      </c>
      <c r="C129" s="0" t="inlineStr">
        <is>
          <t>Užitna</t>
        </is>
      </c>
      <c r="D129" s="0" t="inlineStr">
        <is>
          <t>Jul – Okt</t>
        </is>
      </c>
      <c r="E129" s="0" t="inlineStr">
        <is>
          <t>12 – 20 °C</t>
        </is>
      </c>
      <c r="F129" s="0" t="inlineStr">
        <is>
          <t>Mešani gozdovi</t>
        </is>
      </c>
      <c r="G129" s="0" t="inlineStr">
        <is>
          <t>Mikoriza; v tleh</t>
        </is>
      </c>
      <c r="H129" s="0" t="inlineStr">
        <is>
          <t>Bogata humozna nevtralna tla (pH 6.0 - 7.0)</t>
        </is>
      </c>
      <c r="I129" s="0" t="inlineStr"/>
      <c r="J129" s="0" t="inlineStr">
        <is>
          <t>Značilen po gobah</t>
        </is>
      </c>
      <c r="K129" s="0" t="inlineStr">
        <is>
          <t>Meso je krhko (kredasto), izjemno belo, ne spreminja barve (razen črnikaste)</t>
        </is>
      </c>
      <c r="L129" s="0" t="inlineStr">
        <is>
          <t>Sveža priprava ali sušenje</t>
        </is>
      </c>
      <c r="M129" s="0" t="inlineStr">
        <is>
          <t>Vse višine</t>
        </is>
      </c>
      <c r="N129" s="0" t="inlineStr">
        <is>
          <t>Prisotna po celotni dolini</t>
        </is>
      </c>
      <c r="O129" s="0" t="inlineStr">
        <is>
          <t>Prehodna in široko razširjena območja (mešani gozdovi in hribovja širom doline)</t>
        </is>
      </c>
      <c r="P129" s="0" t="inlineStr">
        <is>
          <t>20-30</t>
        </is>
      </c>
      <c r="Q129" s="0" t="inlineStr">
        <is>
          <t>12-20</t>
        </is>
      </c>
      <c r="R129" s="0" t="inlineStr">
        <is>
          <t>Visok (občutljive na veter)</t>
        </is>
      </c>
    </row>
    <row r="130">
      <c r="A130" s="0" t="inlineStr">
        <is>
          <t>Velika rdečelistka</t>
        </is>
      </c>
      <c r="B130" s="0" t="inlineStr">
        <is>
          <t>Entoloma sinuatum</t>
        </is>
      </c>
      <c r="C130" s="0" t="inlineStr">
        <is>
          <t>Zelo strupena</t>
        </is>
      </c>
      <c r="D130" s="0" t="inlineStr">
        <is>
          <t>Jul – Okt</t>
        </is>
      </c>
      <c r="E130" s="0" t="inlineStr">
        <is>
          <t>14 – 24 °C</t>
        </is>
      </c>
      <c r="F130" s="0" t="inlineStr">
        <is>
          <t>Mešani gozdovi</t>
        </is>
      </c>
      <c r="G130" s="0" t="inlineStr">
        <is>
          <t>Mikoriza; v tleh</t>
        </is>
      </c>
      <c r="H130" s="0" t="inlineStr">
        <is>
          <t>Bogata humozna nevtralna tla (pH 6.0 - 7.0)</t>
        </is>
      </c>
      <c r="I130" s="0" t="inlineStr"/>
      <c r="J130" s="0" t="inlineStr">
        <is>
          <t>Prijeten vonj po moki (izjemno zavajajoče!)</t>
        </is>
      </c>
      <c r="K130" s="0" t="inlineStr">
        <is>
          <t>Belo, nespremenljivo</t>
        </is>
      </c>
      <c r="L130" s="0" t="inlineStr">
        <is>
          <t>STRUPENA / NEUŽITNA (Ne nabiraj za prehrano!)</t>
        </is>
      </c>
      <c r="M130" s="0" t="inlineStr">
        <is>
          <t>Vse višine</t>
        </is>
      </c>
      <c r="N130" s="0" t="inlineStr">
        <is>
          <t>Prisotna po celotni dolini</t>
        </is>
      </c>
      <c r="O130" s="0" t="inlineStr">
        <is>
          <t>Prehodna in široko razširjena območja (mešani gozdovi in hribovja širom doline)</t>
        </is>
      </c>
      <c r="P130" s="0" t="inlineStr">
        <is>
          <t>25-35</t>
        </is>
      </c>
      <c r="Q130" s="0" t="inlineStr">
        <is>
          <t>12-20</t>
        </is>
      </c>
      <c r="R130" s="0" t="inlineStr">
        <is>
          <t>Srednji</t>
        </is>
      </c>
    </row>
    <row r="131">
      <c r="A131" s="0" t="inlineStr">
        <is>
          <t>Ščitasta rdečelistka</t>
        </is>
      </c>
      <c r="B131" s="0" t="inlineStr">
        <is>
          <t>Entoloma clypeatum</t>
        </is>
      </c>
      <c r="C131" s="0" t="inlineStr">
        <is>
          <t>Užitna</t>
        </is>
      </c>
      <c r="D131" s="0" t="inlineStr">
        <is>
          <t>Apr – Jun</t>
        </is>
      </c>
      <c r="E131" s="0" t="inlineStr">
        <is>
          <t>8 – 18 °C</t>
        </is>
      </c>
      <c r="F131" s="0" t="inlineStr">
        <is>
          <t>Mešani gozdovi</t>
        </is>
      </c>
      <c r="G131" s="0" t="inlineStr">
        <is>
          <t>Mikoriza; v tleh</t>
        </is>
      </c>
      <c r="H131" s="0" t="inlineStr">
        <is>
          <t>Bogata humozna nevtralna tla (pH 6.0 - 7.0)</t>
        </is>
      </c>
      <c r="I131" s="0" t="inlineStr"/>
      <c r="J131" s="0" t="inlineStr">
        <is>
          <t>Po moki</t>
        </is>
      </c>
      <c r="K131" s="0" t="inlineStr">
        <is>
          <t>Belo</t>
        </is>
      </c>
      <c r="L131" s="0" t="inlineStr">
        <is>
          <t>Sveža priprava ali sušenje</t>
        </is>
      </c>
      <c r="M131" s="0" t="inlineStr">
        <is>
          <t>Vse višine</t>
        </is>
      </c>
      <c r="N131" s="0" t="inlineStr">
        <is>
          <t>Prisotna po celotni dolini</t>
        </is>
      </c>
      <c r="O131" s="0" t="inlineStr">
        <is>
          <t>Prehodna in široko razširjena območja (mešani gozdovi in hribovja širom doline)</t>
        </is>
      </c>
      <c r="P131" s="0" t="inlineStr">
        <is>
          <t>25-35</t>
        </is>
      </c>
      <c r="Q131" s="0" t="inlineStr">
        <is>
          <t>12-20</t>
        </is>
      </c>
      <c r="R131" s="0" t="inlineStr">
        <is>
          <t>Srednji</t>
        </is>
      </c>
    </row>
    <row r="132">
      <c r="A132" s="0" t="inlineStr">
        <is>
          <t>Pomladanska rdečelistka</t>
        </is>
      </c>
      <c r="B132" s="0" t="inlineStr">
        <is>
          <t>Entoloma vernum</t>
        </is>
      </c>
      <c r="C132" s="0" t="inlineStr">
        <is>
          <t>Strupena</t>
        </is>
      </c>
      <c r="D132" s="0" t="inlineStr">
        <is>
          <t>Apr – Jun</t>
        </is>
      </c>
      <c r="E132" s="0" t="inlineStr">
        <is>
          <t>8 – 14 °C</t>
        </is>
      </c>
      <c r="F132" s="0" t="inlineStr">
        <is>
          <t>Mešani gozdovi</t>
        </is>
      </c>
      <c r="G132" s="0" t="inlineStr">
        <is>
          <t>Mikoriza; v tleh</t>
        </is>
      </c>
      <c r="H132" s="0" t="inlineStr">
        <is>
          <t>Bogata humozna nevtralna tla (pH 6.0 - 7.0)</t>
        </is>
      </c>
      <c r="I132" s="0" t="inlineStr"/>
      <c r="J132" s="0" t="inlineStr">
        <is>
          <t>Brez posebnega vonja</t>
        </is>
      </c>
      <c r="K132" s="0" t="inlineStr">
        <is>
          <t>Ne spreminja barve</t>
        </is>
      </c>
      <c r="L132" s="0" t="inlineStr">
        <is>
          <t>STRUPENA / NEUŽITNA (Ne nabiraj za prehrano!)</t>
        </is>
      </c>
      <c r="M132" s="0" t="inlineStr">
        <is>
          <t>Vse višine</t>
        </is>
      </c>
      <c r="N132" s="0" t="inlineStr">
        <is>
          <t>Prisotna po celotni dolini</t>
        </is>
      </c>
      <c r="O132" s="0" t="inlineStr">
        <is>
          <t>Prehodna in široko razširjena območja (mešani gozdovi in hribovja širom doline)</t>
        </is>
      </c>
      <c r="P132" s="0" t="inlineStr">
        <is>
          <t>25-35</t>
        </is>
      </c>
      <c r="Q132" s="0" t="inlineStr">
        <is>
          <t>8-14</t>
        </is>
      </c>
      <c r="R132" s="0" t="inlineStr">
        <is>
          <t>Srednji</t>
        </is>
      </c>
    </row>
    <row r="133">
      <c r="A133" s="0" t="inlineStr">
        <is>
          <t>Rjavoluski kukmak</t>
        </is>
      </c>
      <c r="B133" s="0" t="inlineStr">
        <is>
          <t>Agaricus sylvaticus</t>
        </is>
      </c>
      <c r="C133" s="0" t="inlineStr">
        <is>
          <t>Užitna</t>
        </is>
      </c>
      <c r="D133" s="0" t="inlineStr">
        <is>
          <t>Jul – Okt</t>
        </is>
      </c>
      <c r="E133" s="0" t="inlineStr">
        <is>
          <t>12 – 20 °C</t>
        </is>
      </c>
      <c r="F133" s="0" t="inlineStr">
        <is>
          <t>Mešani gozdovi</t>
        </is>
      </c>
      <c r="G133" s="0" t="inlineStr">
        <is>
          <t>Saprofit na travnikih/gozdovih</t>
        </is>
      </c>
      <c r="H133" s="0" t="inlineStr">
        <is>
          <t>Bazična apnenčasta tla in rendzine (pH 7.0 - 8.5)</t>
        </is>
      </c>
      <c r="I133" s="0" t="inlineStr"/>
      <c r="J133" s="0" t="inlineStr">
        <is>
          <t>Prijeten vonj po gozdu in lesu</t>
        </is>
      </c>
      <c r="K133" s="0" t="inlineStr">
        <is>
          <t>Meso ob prerezu takoj in močno krvavo pordeči</t>
        </is>
      </c>
      <c r="L133" s="0" t="inlineStr">
        <is>
          <t>Sveža priprava ali sušenje</t>
        </is>
      </c>
      <c r="M133" s="0" t="inlineStr">
        <is>
          <t>Vse višine</t>
        </is>
      </c>
      <c r="N133" s="0" t="inlineStr">
        <is>
          <t>Prisotna po celotni dolini</t>
        </is>
      </c>
      <c r="O133" s="0" t="inlineStr">
        <is>
          <t>Karbonatni masivi: Golte, Menina planina, Dobrovlje, Dleskovška planota (apnenec in dolomit)</t>
        </is>
      </c>
      <c r="P133" s="0" t="inlineStr">
        <is>
          <t>20-30</t>
        </is>
      </c>
      <c r="Q133" s="0" t="inlineStr">
        <is>
          <t>12-20</t>
        </is>
      </c>
      <c r="R133" s="0" t="inlineStr">
        <is>
          <t>Visok (rastejo na odprtem)</t>
        </is>
      </c>
    </row>
    <row r="134">
      <c r="A134" s="0" t="inlineStr">
        <is>
          <t>Hostni kukmak</t>
        </is>
      </c>
      <c r="B134" s="0" t="inlineStr">
        <is>
          <t>Agaricus silvicola</t>
        </is>
      </c>
      <c r="C134" s="0" t="inlineStr">
        <is>
          <t>Užitna</t>
        </is>
      </c>
      <c r="D134" s="0" t="inlineStr">
        <is>
          <t>Jul – Okt</t>
        </is>
      </c>
      <c r="E134" s="0" t="inlineStr">
        <is>
          <t>14 – 22 °C</t>
        </is>
      </c>
      <c r="F134" s="0" t="inlineStr">
        <is>
          <t>Mešani gozdovi</t>
        </is>
      </c>
      <c r="G134" s="0" t="inlineStr">
        <is>
          <t>Saprofit na travnikih/gozdovih</t>
        </is>
      </c>
      <c r="H134" s="0" t="inlineStr">
        <is>
          <t>Bazična apnenčasta tla in rendzine (pH 7.0 - 8.5)</t>
        </is>
      </c>
      <c r="I134" s="0" t="inlineStr"/>
      <c r="J134" s="0" t="inlineStr">
        <is>
          <t>Močan vonj po janežu in grenkih mandljih</t>
        </is>
      </c>
      <c r="K134" s="0" t="inlineStr">
        <is>
          <t>Meso na pritisk rahlo porumeni</t>
        </is>
      </c>
      <c r="L134" s="0" t="inlineStr">
        <is>
          <t>Sveža priprava ali sušenje</t>
        </is>
      </c>
      <c r="M134" s="0" t="inlineStr">
        <is>
          <t>Vse višine</t>
        </is>
      </c>
      <c r="N134" s="0" t="inlineStr">
        <is>
          <t>Prisotna po celotni dolini</t>
        </is>
      </c>
      <c r="O134" s="0" t="inlineStr">
        <is>
          <t>Karbonatni masivi: Golte, Menina planina, Dobrovlje, Dleskovška planota (apnenec in dolomit)</t>
        </is>
      </c>
      <c r="P134" s="0" t="inlineStr">
        <is>
          <t>20-30</t>
        </is>
      </c>
      <c r="Q134" s="0" t="inlineStr">
        <is>
          <t>14-22</t>
        </is>
      </c>
      <c r="R134" s="0" t="inlineStr">
        <is>
          <t>Visok (rastejo na odprtem)</t>
        </is>
      </c>
    </row>
    <row r="135">
      <c r="A135" s="0" t="inlineStr">
        <is>
          <t>Dvotrosni kukmak</t>
        </is>
      </c>
      <c r="B135" s="0" t="inlineStr">
        <is>
          <t>Agaricus bisporus</t>
        </is>
      </c>
      <c r="C135" s="0" t="inlineStr">
        <is>
          <t>Užitna</t>
        </is>
      </c>
      <c r="D135" s="0" t="inlineStr">
        <is>
          <t>Jul – Okt</t>
        </is>
      </c>
      <c r="E135" s="0" t="inlineStr">
        <is>
          <t>12 – 20 °C</t>
        </is>
      </c>
      <c r="F135" s="0" t="inlineStr">
        <is>
          <t>Mešani gozdovi</t>
        </is>
      </c>
      <c r="G135" s="0" t="inlineStr">
        <is>
          <t>Saprofit na travnikih/gozdovih</t>
        </is>
      </c>
      <c r="H135" s="0" t="inlineStr">
        <is>
          <t>Bazična apnenčasta tla in rendzine (pH 7.0 - 8.5)</t>
        </is>
      </c>
      <c r="I135" s="0" t="inlineStr"/>
      <c r="J135" s="0" t="inlineStr">
        <is>
          <t>Značilen po gobah</t>
        </is>
      </c>
      <c r="K135" s="0" t="inlineStr">
        <is>
          <t>Ne spreminja barve</t>
        </is>
      </c>
      <c r="L135" s="0" t="inlineStr">
        <is>
          <t>Sveža priprava ali sušenje</t>
        </is>
      </c>
      <c r="M135" s="0" t="inlineStr">
        <is>
          <t>Vse višine</t>
        </is>
      </c>
      <c r="N135" s="0" t="inlineStr">
        <is>
          <t>Prisotna po celotni dolini</t>
        </is>
      </c>
      <c r="O135" s="0" t="inlineStr">
        <is>
          <t>Karbonatni masivi: Golte, Menina planina, Dobrovlje, Dleskovška planota (apnenec in dolomit)</t>
        </is>
      </c>
      <c r="P135" s="0" t="inlineStr">
        <is>
          <t>20-30</t>
        </is>
      </c>
      <c r="Q135" s="0" t="inlineStr">
        <is>
          <t>12-20</t>
        </is>
      </c>
      <c r="R135" s="0" t="inlineStr">
        <is>
          <t>Visok (rastejo na odprtem)</t>
        </is>
      </c>
    </row>
    <row r="136">
      <c r="A136" s="0" t="inlineStr">
        <is>
          <t>Gozdni kukmak</t>
        </is>
      </c>
      <c r="B136" s="0" t="inlineStr">
        <is>
          <t>Agaricus langei</t>
        </is>
      </c>
      <c r="C136" s="0" t="inlineStr">
        <is>
          <t>Užitna</t>
        </is>
      </c>
      <c r="D136" s="0" t="inlineStr">
        <is>
          <t>Jul – Okt</t>
        </is>
      </c>
      <c r="E136" s="0" t="inlineStr">
        <is>
          <t>12 – 20 °C</t>
        </is>
      </c>
      <c r="F136" s="0" t="inlineStr">
        <is>
          <t>Mešani gozdovi</t>
        </is>
      </c>
      <c r="G136" s="0" t="inlineStr">
        <is>
          <t>Saprofit na travnikih/gozdovih</t>
        </is>
      </c>
      <c r="H136" s="0" t="inlineStr">
        <is>
          <t>Bazična apnenčasta tla in rendzine (pH 7.0 - 8.5)</t>
        </is>
      </c>
      <c r="I136" s="0" t="inlineStr"/>
      <c r="J136" s="0" t="inlineStr">
        <is>
          <t>Prijeten vonj po gozdu in lesu</t>
        </is>
      </c>
      <c r="K136" s="0" t="inlineStr">
        <is>
          <t>Meso ob prerezu takoj in močno krvavo pordeči</t>
        </is>
      </c>
      <c r="L136" s="0" t="inlineStr">
        <is>
          <t>Sveža priprava ali sušenje</t>
        </is>
      </c>
      <c r="M136" s="0" t="inlineStr">
        <is>
          <t>Vse višine</t>
        </is>
      </c>
      <c r="N136" s="0" t="inlineStr">
        <is>
          <t>Prisotna po celotni dolini</t>
        </is>
      </c>
      <c r="O136" s="0" t="inlineStr">
        <is>
          <t>Karbonatni masivi: Golte, Menina planina, Dobrovlje, Dleskovška planota (apnenec in dolomit)</t>
        </is>
      </c>
      <c r="P136" s="0" t="inlineStr">
        <is>
          <t>20-30</t>
        </is>
      </c>
      <c r="Q136" s="0" t="inlineStr">
        <is>
          <t>12-20</t>
        </is>
      </c>
      <c r="R136" s="0" t="inlineStr">
        <is>
          <t>Visok (rastejo na odprtem)</t>
        </is>
      </c>
    </row>
    <row r="137">
      <c r="A137" s="0" t="inlineStr">
        <is>
          <t>Zlata griva</t>
        </is>
      </c>
      <c r="B137" s="0" t="inlineStr">
        <is>
          <t>Ramaria aurea</t>
        </is>
      </c>
      <c r="C137" s="0" t="inlineStr">
        <is>
          <t>Užitna</t>
        </is>
      </c>
      <c r="D137" s="0" t="inlineStr">
        <is>
          <t>Avg – Okt</t>
        </is>
      </c>
      <c r="E137" s="0" t="inlineStr">
        <is>
          <t>12 – 20 °C</t>
        </is>
      </c>
      <c r="F137" s="0" t="inlineStr">
        <is>
          <t>Mešani gozdovi</t>
        </is>
      </c>
      <c r="G137" s="0" t="inlineStr">
        <is>
          <t>Mikoriza; v tleh</t>
        </is>
      </c>
      <c r="H137" s="0" t="inlineStr">
        <is>
          <t>Bogata humozna nevtralna tla (pH 6.0 - 7.0)</t>
        </is>
      </c>
      <c r="I137" s="0" t="inlineStr"/>
      <c r="J137" s="0" t="inlineStr">
        <is>
          <t>Prijeten po zeliščih ali lesu</t>
        </is>
      </c>
      <c r="K137" s="0" t="inlineStr">
        <is>
          <t>Krhko meso, konički pri poškodbi pogosto porjavijo</t>
        </is>
      </c>
      <c r="L137" s="0" t="inlineStr">
        <is>
          <t>Pred uporabo je treba odrezati grenke vršičke.</t>
        </is>
      </c>
      <c r="M137" s="0" t="inlineStr">
        <is>
          <t>Vse višine</t>
        </is>
      </c>
      <c r="N137" s="0" t="inlineStr">
        <is>
          <t>Prisotna po celotni dolini</t>
        </is>
      </c>
      <c r="O137" s="0" t="inlineStr">
        <is>
          <t>Prehodna in široko razširjena območja (mešani gozdovi in hribovja širom doline)</t>
        </is>
      </c>
      <c r="P137" s="0" t="inlineStr">
        <is>
          <t>25-35</t>
        </is>
      </c>
      <c r="Q137" s="0" t="inlineStr">
        <is>
          <t>12-20</t>
        </is>
      </c>
      <c r="R137" s="0" t="inlineStr">
        <is>
          <t>Srednji</t>
        </is>
      </c>
    </row>
    <row r="138">
      <c r="A138" s="0" t="inlineStr">
        <is>
          <t>Rdeča griva</t>
        </is>
      </c>
      <c r="B138" s="0" t="inlineStr">
        <is>
          <t>Ramaria botrytis</t>
        </is>
      </c>
      <c r="C138" s="0" t="inlineStr">
        <is>
          <t>Užitna</t>
        </is>
      </c>
      <c r="D138" s="0" t="inlineStr">
        <is>
          <t>Avg – Okt</t>
        </is>
      </c>
      <c r="E138" s="0" t="inlineStr">
        <is>
          <t>12 – 20 °C</t>
        </is>
      </c>
      <c r="F138" s="0" t="inlineStr">
        <is>
          <t>Mešani gozdovi</t>
        </is>
      </c>
      <c r="G138" s="0" t="inlineStr">
        <is>
          <t>Mikoriza; v tleh</t>
        </is>
      </c>
      <c r="H138" s="0" t="inlineStr">
        <is>
          <t>Bogata humozna nevtralna tla (pH 6.0 - 7.0)</t>
        </is>
      </c>
      <c r="I138" s="0" t="inlineStr"/>
      <c r="J138" s="0" t="inlineStr">
        <is>
          <t>Prijeten po zeliščih ali lesu</t>
        </is>
      </c>
      <c r="K138" s="0" t="inlineStr">
        <is>
          <t>Krhko meso, konički pri poškodbi pogosto porjavijo</t>
        </is>
      </c>
      <c r="L138" s="0" t="inlineStr">
        <is>
          <t>Pred uporabo je treba odrezati grenke vršičke.</t>
        </is>
      </c>
      <c r="M138" s="0" t="inlineStr">
        <is>
          <t>Vse višine</t>
        </is>
      </c>
      <c r="N138" s="0" t="inlineStr">
        <is>
          <t>Prisotna po celotni dolini</t>
        </is>
      </c>
      <c r="O138" s="0" t="inlineStr">
        <is>
          <t>Prehodna in široko razširjena območja (mešani gozdovi in hribovja širom doline)</t>
        </is>
      </c>
      <c r="P138" s="0" t="inlineStr">
        <is>
          <t>25-35</t>
        </is>
      </c>
      <c r="Q138" s="0" t="inlineStr">
        <is>
          <t>12-20</t>
        </is>
      </c>
      <c r="R138" s="0" t="inlineStr">
        <is>
          <t>Srednji</t>
        </is>
      </c>
    </row>
    <row r="139">
      <c r="A139" s="0" t="inlineStr">
        <is>
          <t>Bleda griva</t>
        </is>
      </c>
      <c r="B139" s="0" t="inlineStr">
        <is>
          <t>Ramaria pallida</t>
        </is>
      </c>
      <c r="C139" s="0" t="inlineStr">
        <is>
          <t>Strupena</t>
        </is>
      </c>
      <c r="D139" s="0" t="inlineStr">
        <is>
          <t>Avg – Okt</t>
        </is>
      </c>
      <c r="E139" s="0" t="inlineStr">
        <is>
          <t>12 – 20 °C</t>
        </is>
      </c>
      <c r="F139" s="0" t="inlineStr">
        <is>
          <t>Mešani gozdovi</t>
        </is>
      </c>
      <c r="G139" s="0" t="inlineStr">
        <is>
          <t>Mikoriza; v tleh</t>
        </is>
      </c>
      <c r="H139" s="0" t="inlineStr">
        <is>
          <t>Bogata humozna nevtralna tla (pH 6.0 - 7.0)</t>
        </is>
      </c>
      <c r="I139" s="0" t="inlineStr"/>
      <c r="J139" s="0" t="inlineStr">
        <is>
          <t>Neprijeten vonj po bolnišnici ali zdravilih</t>
        </is>
      </c>
      <c r="K139" s="0" t="inlineStr">
        <is>
          <t>Krhko meso, konički pri poškodbi pogosto porjavijo</t>
        </is>
      </c>
      <c r="L139" s="0" t="inlineStr">
        <is>
          <t>STRUPENA / NEUŽITNA (Ne nabiraj za prehrano!)</t>
        </is>
      </c>
      <c r="M139" s="0" t="inlineStr">
        <is>
          <t>Vse višine</t>
        </is>
      </c>
      <c r="N139" s="0" t="inlineStr">
        <is>
          <t>Prisotna po celotni dolini</t>
        </is>
      </c>
      <c r="O139" s="0" t="inlineStr">
        <is>
          <t>Prehodna in široko razširjena območja (mešani gozdovi in hribovja širom doline)</t>
        </is>
      </c>
      <c r="P139" s="0" t="inlineStr">
        <is>
          <t>25-35</t>
        </is>
      </c>
      <c r="Q139" s="0" t="inlineStr">
        <is>
          <t>12-20</t>
        </is>
      </c>
      <c r="R139" s="0" t="inlineStr">
        <is>
          <t>Srednji</t>
        </is>
      </c>
    </row>
    <row r="140">
      <c r="A140" s="0" t="inlineStr">
        <is>
          <t>Bukova kresilka</t>
        </is>
      </c>
      <c r="B140" s="0" t="inlineStr">
        <is>
          <t>Fomes fomentarius</t>
        </is>
      </c>
      <c r="C140" s="0" t="inlineStr">
        <is>
          <t>Neužitna</t>
        </is>
      </c>
      <c r="D140" s="0" t="inlineStr">
        <is>
          <t>Jul – Okt</t>
        </is>
      </c>
      <c r="E140" s="0" t="inlineStr">
        <is>
          <t>12 – 20 °C</t>
        </is>
      </c>
      <c r="F140" s="0" t="inlineStr">
        <is>
          <t>Mešani gozdovi</t>
        </is>
      </c>
      <c r="G140" s="0" t="inlineStr">
        <is>
          <t>Saprofit/Parazit na lesu</t>
        </is>
      </c>
      <c r="H140" s="0" t="inlineStr">
        <is>
          <t>Bogata humozna nevtralna tla (pH 6.0 - 7.0)</t>
        </is>
      </c>
      <c r="I140" s="0" t="inlineStr"/>
      <c r="J140" s="0" t="inlineStr">
        <is>
          <t>Olesenel, kiselkast vonj</t>
        </is>
      </c>
      <c r="K140" s="0" t="inlineStr">
        <is>
          <t>Trd les, ne spreminja barve</t>
        </is>
      </c>
      <c r="L140" s="0" t="inlineStr">
        <is>
          <t>STRUPENA / NEUŽITNA (Ne nabiraj za prehrano!)</t>
        </is>
      </c>
      <c r="M140" s="0" t="inlineStr">
        <is>
          <t>Vse višine</t>
        </is>
      </c>
      <c r="N140" s="0" t="inlineStr">
        <is>
          <t>Prisotna po celotni dolini</t>
        </is>
      </c>
      <c r="O140" s="0" t="inlineStr">
        <is>
          <t>Na odmrlem ali živem lesu (listavci/iglavci) povsod po dolini in predgorju</t>
        </is>
      </c>
      <c r="P140" s="0" t="inlineStr">
        <is>
          <t>25-35</t>
        </is>
      </c>
      <c r="Q140" s="0" t="inlineStr">
        <is>
          <t>12-20</t>
        </is>
      </c>
      <c r="R140" s="0" t="inlineStr">
        <is>
          <t>Srednji</t>
        </is>
      </c>
    </row>
    <row r="141">
      <c r="A141" s="0" t="inlineStr">
        <is>
          <t>Žvepleni lepoluknjičar</t>
        </is>
      </c>
      <c r="B141" s="0" t="inlineStr">
        <is>
          <t>Laetiporus sulphureus</t>
        </is>
      </c>
      <c r="C141" s="0" t="inlineStr">
        <is>
          <t>Pogojno užitna</t>
        </is>
      </c>
      <c r="D141" s="0" t="inlineStr">
        <is>
          <t>Jul – Okt</t>
        </is>
      </c>
      <c r="E141" s="0" t="inlineStr">
        <is>
          <t>12 – 20 °C</t>
        </is>
      </c>
      <c r="F141" s="0" t="inlineStr">
        <is>
          <t>Mešani gozdovi</t>
        </is>
      </c>
      <c r="G141" s="0" t="inlineStr">
        <is>
          <t>Saprofit/Parazit na lesu</t>
        </is>
      </c>
      <c r="H141" s="0" t="inlineStr">
        <is>
          <t>Bogata humozna nevtralna tla (pH 6.0 - 7.0)</t>
        </is>
      </c>
      <c r="I141" s="0" t="inlineStr"/>
      <c r="J141" s="0" t="inlineStr">
        <is>
          <t>Kiselkast, intenziven vonj</t>
        </is>
      </c>
      <c r="K141" s="0" t="inlineStr">
        <is>
          <t>Ne spreminja barve</t>
        </is>
      </c>
      <c r="L141" s="0" t="inlineStr">
        <is>
          <t>Užitna le povsem mlada (mehka). Kuhati vsaj 20 min (okus po piščancu).</t>
        </is>
      </c>
      <c r="M141" s="0" t="inlineStr">
        <is>
          <t>Vse višine</t>
        </is>
      </c>
      <c r="N141" s="0" t="inlineStr">
        <is>
          <t>Prisotna po celotni dolini</t>
        </is>
      </c>
      <c r="O141" s="0" t="inlineStr">
        <is>
          <t>Prehodna in široko razširjena območja (mešani gozdovi in hribovja širom doline)</t>
        </is>
      </c>
      <c r="P141" s="0" t="inlineStr">
        <is>
          <t>25-35</t>
        </is>
      </c>
      <c r="Q141" s="0" t="inlineStr">
        <is>
          <t>12-20</t>
        </is>
      </c>
      <c r="R141" s="0" t="inlineStr">
        <is>
          <t>Srednji</t>
        </is>
      </c>
    </row>
    <row r="142">
      <c r="A142" s="0" t="inlineStr">
        <is>
          <t>Macesnova goba</t>
        </is>
      </c>
      <c r="B142" s="0" t="inlineStr">
        <is>
          <t>Fomitopsis officinalis</t>
        </is>
      </c>
      <c r="C142" s="0" t="inlineStr">
        <is>
          <t>Neužitna</t>
        </is>
      </c>
      <c r="D142" s="0" t="inlineStr">
        <is>
          <t>Jul – Okt</t>
        </is>
      </c>
      <c r="E142" s="0" t="inlineStr">
        <is>
          <t>12 – 20 °C</t>
        </is>
      </c>
      <c r="F142" s="0" t="inlineStr">
        <is>
          <t>Mešani gozdovi</t>
        </is>
      </c>
      <c r="G142" s="0" t="inlineStr">
        <is>
          <t>Saprofit/Parazit na lesu</t>
        </is>
      </c>
      <c r="H142" s="0" t="inlineStr">
        <is>
          <t>Bogata humozna nevtralna tla (pH 6.0 - 7.0)</t>
        </is>
      </c>
      <c r="I142" s="0" t="inlineStr"/>
      <c r="J142" s="0" t="inlineStr">
        <is>
          <t>Olesenel, kiselkast vonj</t>
        </is>
      </c>
      <c r="K142" s="0" t="inlineStr">
        <is>
          <t>Trd les, ne spreminja barve</t>
        </is>
      </c>
      <c r="L142" s="0" t="inlineStr">
        <is>
          <t>STRUPENA / NEUŽITNA (Ne nabiraj za prehrano!)</t>
        </is>
      </c>
      <c r="M142" s="0" t="inlineStr">
        <is>
          <t>Vse višine</t>
        </is>
      </c>
      <c r="N142" s="0" t="inlineStr">
        <is>
          <t>Prisotna po celotni dolini</t>
        </is>
      </c>
      <c r="O142" s="0" t="inlineStr">
        <is>
          <t>Prehodna in široko razširjena območja (mešani gozdovi in hribovja širom doline)</t>
        </is>
      </c>
      <c r="P142" s="0" t="inlineStr">
        <is>
          <t>25-35</t>
        </is>
      </c>
      <c r="Q142" s="0" t="inlineStr">
        <is>
          <t>12-20</t>
        </is>
      </c>
      <c r="R142" s="0" t="inlineStr">
        <is>
          <t>Srednji</t>
        </is>
      </c>
    </row>
    <row r="143">
      <c r="A143" s="0" t="inlineStr">
        <is>
          <t>Sljudnata tintnica</t>
        </is>
      </c>
      <c r="B143" s="0" t="inlineStr">
        <is>
          <t>Coprinellus micaceus</t>
        </is>
      </c>
      <c r="C143" s="0" t="inlineStr">
        <is>
          <t>Pogojno užitna</t>
        </is>
      </c>
      <c r="D143" s="0" t="inlineStr">
        <is>
          <t>Maj – Nov</t>
        </is>
      </c>
      <c r="E143" s="0" t="inlineStr">
        <is>
          <t>10 – 22 °C</t>
        </is>
      </c>
      <c r="F143" s="0" t="inlineStr">
        <is>
          <t>Mešani gozdovi</t>
        </is>
      </c>
      <c r="G143" s="0" t="inlineStr">
        <is>
          <t>Mikoriza; v tleh</t>
        </is>
      </c>
      <c r="H143" s="0" t="inlineStr">
        <is>
          <t>Bogata humozna nevtralna tla (pH 6.0 - 7.0)</t>
        </is>
      </c>
      <c r="I143" s="0" t="inlineStr"/>
      <c r="J143" s="0" t="inlineStr">
        <is>
          <t>Brez posebnega vonja</t>
        </is>
      </c>
      <c r="K143" s="0" t="inlineStr">
        <is>
          <t>Meso hitro počrni in se utekočini</t>
        </is>
      </c>
      <c r="L143" s="0" t="inlineStr">
        <is>
          <t>Pripraviti v roku 2 ur po nabiranju!</t>
        </is>
      </c>
      <c r="M143" s="0" t="inlineStr">
        <is>
          <t>Vse višine</t>
        </is>
      </c>
      <c r="N143" s="0" t="inlineStr">
        <is>
          <t>Prisotna po celotni dolini</t>
        </is>
      </c>
      <c r="O143" s="0" t="inlineStr">
        <is>
          <t>Prehodna in široko razširjena območja (mešani gozdovi in hribovja širom doline)</t>
        </is>
      </c>
      <c r="P143" s="0" t="inlineStr">
        <is>
          <t>25-35</t>
        </is>
      </c>
      <c r="Q143" s="0" t="inlineStr">
        <is>
          <t>12-20</t>
        </is>
      </c>
      <c r="R143" s="0" t="inlineStr">
        <is>
          <t>Srednji</t>
        </is>
      </c>
    </row>
    <row r="144">
      <c r="A144" s="0" t="inlineStr">
        <is>
          <t>Gola tintnica</t>
        </is>
      </c>
      <c r="B144" s="0" t="inlineStr">
        <is>
          <t>Coprinopsis atramentaria</t>
        </is>
      </c>
      <c r="C144" s="0" t="inlineStr">
        <is>
          <t>Strupena</t>
        </is>
      </c>
      <c r="D144" s="0" t="inlineStr">
        <is>
          <t>Jul – Okt</t>
        </is>
      </c>
      <c r="E144" s="0" t="inlineStr">
        <is>
          <t>12 – 20 °C</t>
        </is>
      </c>
      <c r="F144" s="0" t="inlineStr">
        <is>
          <t>Mešani gozdovi</t>
        </is>
      </c>
      <c r="G144" s="0" t="inlineStr">
        <is>
          <t>Mikoriza; v tleh</t>
        </is>
      </c>
      <c r="H144" s="0" t="inlineStr">
        <is>
          <t>Bogata humozna nevtralna tla (pH 6.0 - 7.0)</t>
        </is>
      </c>
      <c r="I144" s="0" t="inlineStr"/>
      <c r="J144" s="0" t="inlineStr">
        <is>
          <t>Značilen po gobah</t>
        </is>
      </c>
      <c r="K144" s="0" t="inlineStr">
        <is>
          <t>Ne spreminja barve</t>
        </is>
      </c>
      <c r="L144" s="0" t="inlineStr">
        <is>
          <t>STRUPENA / NEUŽITNA (Ne nabiraj za prehrano!)</t>
        </is>
      </c>
      <c r="M144" s="0" t="inlineStr">
        <is>
          <t>Vse višine</t>
        </is>
      </c>
      <c r="N144" s="0" t="inlineStr">
        <is>
          <t>Prisotna po celotni dolini</t>
        </is>
      </c>
      <c r="O144" s="0" t="inlineStr">
        <is>
          <t>Prehodna in široko razširjena območja (mešani gozdovi in hribovja širom doline)</t>
        </is>
      </c>
      <c r="P144" s="0" t="inlineStr">
        <is>
          <t>25-35</t>
        </is>
      </c>
      <c r="Q144" s="0" t="inlineStr">
        <is>
          <t>12-20</t>
        </is>
      </c>
      <c r="R144" s="0" t="inlineStr">
        <is>
          <t>Srednji</t>
        </is>
      </c>
    </row>
    <row r="145">
      <c r="A145" s="0" t="inlineStr">
        <is>
          <t>Rdečeča dežnica</t>
        </is>
      </c>
      <c r="B145" s="0" t="inlineStr">
        <is>
          <t>Chlorophyllum rhacodes</t>
        </is>
      </c>
      <c r="C145" s="0" t="inlineStr">
        <is>
          <t>Pogojno užitna</t>
        </is>
      </c>
      <c r="D145" s="0" t="inlineStr">
        <is>
          <t>Jul – Okt</t>
        </is>
      </c>
      <c r="E145" s="0" t="inlineStr">
        <is>
          <t>12 – 20 °C</t>
        </is>
      </c>
      <c r="F145" s="0" t="inlineStr">
        <is>
          <t>Mešani gozdovi</t>
        </is>
      </c>
      <c r="G145" s="0" t="inlineStr">
        <is>
          <t>Mikoriza; v tleh</t>
        </is>
      </c>
      <c r="H145" s="0" t="inlineStr">
        <is>
          <t>Bogata humozna nevtralna tla (pH 6.0 - 7.0)</t>
        </is>
      </c>
      <c r="I145" s="0" t="inlineStr"/>
      <c r="J145" s="0" t="inlineStr">
        <is>
          <t>Značilen po gobah</t>
        </is>
      </c>
      <c r="K145" s="0" t="inlineStr">
        <is>
          <t>Ne spreminja barve</t>
        </is>
      </c>
      <c r="L145" s="0" t="inlineStr">
        <is>
          <t>Sveža priprava ali sušenje</t>
        </is>
      </c>
      <c r="M145" s="0" t="inlineStr">
        <is>
          <t>Vse višine</t>
        </is>
      </c>
      <c r="N145" s="0" t="inlineStr">
        <is>
          <t>Prisotna po celotni dolini</t>
        </is>
      </c>
      <c r="O145" s="0" t="inlineStr">
        <is>
          <t>Prehodna in široko razširjena območja (mešani gozdovi in hribovja širom doline)</t>
        </is>
      </c>
      <c r="P145" s="0" t="inlineStr">
        <is>
          <t>25-35</t>
        </is>
      </c>
      <c r="Q145" s="0" t="inlineStr">
        <is>
          <t>12-20</t>
        </is>
      </c>
      <c r="R145" s="0" t="inlineStr">
        <is>
          <t>Srednji</t>
        </is>
      </c>
    </row>
    <row r="146">
      <c r="A146" s="0" t="inlineStr">
        <is>
          <t>Dekliški dežnik</t>
        </is>
      </c>
      <c r="B146" s="0" t="inlineStr">
        <is>
          <t>Macrolepiota puellaris</t>
        </is>
      </c>
      <c r="C146" s="0" t="inlineStr">
        <is>
          <t>Užitna</t>
        </is>
      </c>
      <c r="D146" s="0" t="inlineStr">
        <is>
          <t>Jul – Okt</t>
        </is>
      </c>
      <c r="E146" s="0" t="inlineStr">
        <is>
          <t>12 – 20 °C</t>
        </is>
      </c>
      <c r="F146" s="0" t="inlineStr">
        <is>
          <t>Mešani gozdovi</t>
        </is>
      </c>
      <c r="G146" s="0" t="inlineStr">
        <is>
          <t>Mikoriza; v tleh</t>
        </is>
      </c>
      <c r="H146" s="0" t="inlineStr">
        <is>
          <t>Z dušikom bogata (nitrofilna) antropogena tla (travniki, pašniki)</t>
        </is>
      </c>
      <c r="I146" s="0" t="inlineStr"/>
      <c r="J146" s="0" t="inlineStr">
        <is>
          <t>Značilen po gobah</t>
        </is>
      </c>
      <c r="K146" s="0" t="inlineStr">
        <is>
          <t>Ne spreminja barve</t>
        </is>
      </c>
      <c r="L146" s="0" t="inlineStr">
        <is>
          <t>Sveža priprava ali sušenje</t>
        </is>
      </c>
      <c r="M146" s="0" t="inlineStr">
        <is>
          <t>Vse višine</t>
        </is>
      </c>
      <c r="N146" s="0" t="inlineStr">
        <is>
          <t>Prisotna po celotni dolini</t>
        </is>
      </c>
      <c r="O146" s="0" t="inlineStr">
        <is>
          <t>Karbonatni masivi: Golte, Menina planina, Dobrovlje, Dleskovška planota (apnenec in dolomit)</t>
        </is>
      </c>
      <c r="P146" s="0" t="inlineStr">
        <is>
          <t>25-35</t>
        </is>
      </c>
      <c r="Q146" s="0" t="inlineStr">
        <is>
          <t>12-20</t>
        </is>
      </c>
      <c r="R146" s="0" t="inlineStr">
        <is>
          <t>Srednji</t>
        </is>
      </c>
    </row>
  </sheetData>
  <autoFilter ref="A1:S52">
    <filterColumn colId="0" hiddenButton="0" showButton="1"/>
  </autoFilter>
  <conditionalFormatting sqref="C2:C52">
    <cfRule type="cellIs" priority="2" operator="equal" dxfId="0">
      <formula>"Pogojno užitna"</formula>
    </cfRule>
    <cfRule type="cellIs" priority="4" operator="equal" dxfId="1">
      <formula>"Strupena"</formula>
    </cfRule>
    <cfRule type="cellIs" priority="3" operator="equal" dxfId="2">
      <formula>"Neužitna"</formula>
    </cfRule>
    <cfRule type="cellIs" priority="6" operator="equal" dxfId="3">
      <formula>"Smrtno strupena"</formula>
    </cfRule>
    <cfRule type="cellIs" priority="7" operator="equal" dxfId="4">
      <formula>"ZAŠČITENA"</formula>
    </cfRule>
    <cfRule type="cellIs" priority="5" operator="equal" dxfId="1">
      <formula>"Zelo strupena"</formula>
    </cfRule>
    <cfRule type="cellIs" priority="1" operator="equal" dxfId="6">
      <formula>"Užitna"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10" defaultRowHeight="15"/>
  <cols>
    <col width="25" customWidth="1" style="28" min="1" max="1"/>
    <col width="15" customWidth="1" style="28" min="2" max="2"/>
  </cols>
  <sheetData>
    <row r="1">
      <c r="A1" s="1" t="inlineStr">
        <is>
          <t>Statistični pregled baze gob</t>
        </is>
      </c>
    </row>
    <row r="3">
      <c r="A3" s="13" t="inlineStr">
        <is>
          <t>Kategorija užitnosti</t>
        </is>
      </c>
      <c r="B3" s="13" t="inlineStr">
        <is>
          <t>Število vrst</t>
        </is>
      </c>
    </row>
    <row r="4">
      <c r="A4" s="7" t="inlineStr">
        <is>
          <t>Užitna</t>
        </is>
      </c>
      <c r="B4" s="21">
        <f>COUNTIF('Baza Gob'!C2:C51,"Užitna")</f>
        <v/>
      </c>
    </row>
    <row r="5">
      <c r="A5" s="7" t="inlineStr">
        <is>
          <t>Pogojno užitna</t>
        </is>
      </c>
      <c r="B5" s="21">
        <f>COUNTIF('Baza Gob'!C2:C51,"Pogojno užitna")</f>
        <v/>
      </c>
    </row>
    <row r="6">
      <c r="A6" s="7" t="inlineStr">
        <is>
          <t>Neužitna</t>
        </is>
      </c>
      <c r="B6" s="21">
        <f>COUNTIF('Baza Gob'!C2:C51,"Neužitna")</f>
        <v/>
      </c>
    </row>
    <row r="7">
      <c r="A7" s="7" t="inlineStr">
        <is>
          <t>Strupena</t>
        </is>
      </c>
      <c r="B7" s="21">
        <f>COUNTIF('Baza Gob'!C2:C51,"Strupena")</f>
        <v/>
      </c>
    </row>
    <row r="8">
      <c r="A8" s="7" t="inlineStr">
        <is>
          <t>Zelo strupena</t>
        </is>
      </c>
      <c r="B8" s="21">
        <f>COUNTIF('Baza Gob'!C2:C51,"Zelo strupena")</f>
        <v/>
      </c>
    </row>
    <row r="9">
      <c r="A9" s="7" t="inlineStr">
        <is>
          <t>Smrtno strupena</t>
        </is>
      </c>
      <c r="B9" s="21">
        <f>COUNTIF('Baza Gob'!C2:C51,"Smrtno strupena")</f>
        <v/>
      </c>
    </row>
    <row r="10">
      <c r="A10" s="7" t="inlineStr">
        <is>
          <t>ZAŠČITENA</t>
        </is>
      </c>
      <c r="B10" s="21">
        <f>COUNTIF('Baza Gob'!C2:C51,"ZAŠČITENA")</f>
        <v/>
      </c>
    </row>
    <row r="11">
      <c r="A11" s="22" t="inlineStr">
        <is>
          <t>Skupaj</t>
        </is>
      </c>
      <c r="B11" s="23">
        <f>SUM(B4:B10)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ColWidth="10" defaultRowHeight="15"/>
  <cols>
    <col width="40" customWidth="1" style="28" min="1" max="1"/>
    <col width="40" customWidth="1" style="28" min="2" max="2"/>
    <col width="15" customWidth="1" style="28" min="3" max="3"/>
  </cols>
  <sheetData>
    <row r="1">
      <c r="A1" s="24" t="inlineStr">
        <is>
          <t>Tip terena</t>
        </is>
      </c>
      <c r="B1" s="24" t="inlineStr">
        <is>
          <t>Lokacija</t>
        </is>
      </c>
      <c r="C1" s="24" t="inlineStr">
        <is>
          <t>Obkljukaj (X)</t>
        </is>
      </c>
    </row>
    <row r="2">
      <c r="A2" s="25" t="inlineStr">
        <is>
          <t>Vulkansko pogorje Smrekovca (Kisla podlaga - 'Kraljestvo Ciganke in Jurčka')</t>
        </is>
      </c>
    </row>
    <row r="3">
      <c r="B3" s="26" t="inlineStr">
        <is>
          <t>Smrekovec (vrh in okolica)</t>
        </is>
      </c>
      <c r="C3" s="27" t="n"/>
    </row>
    <row r="4">
      <c r="B4" s="26" t="inlineStr">
        <is>
          <t>Komen</t>
        </is>
      </c>
      <c r="C4" s="27" t="n"/>
    </row>
    <row r="5">
      <c r="B5" s="26" t="inlineStr">
        <is>
          <t>Štajerski Triglav</t>
        </is>
      </c>
      <c r="C5" s="27" t="n"/>
    </row>
    <row r="6">
      <c r="B6" s="26" t="inlineStr">
        <is>
          <t>Krnes</t>
        </is>
      </c>
      <c r="C6" s="27" t="n"/>
    </row>
    <row r="7">
      <c r="B7" s="26" t="inlineStr">
        <is>
          <t>Gozdovi nad Ljubnim</t>
        </is>
      </c>
      <c r="C7" s="27" t="n"/>
    </row>
    <row r="8">
      <c r="B8" s="26" t="inlineStr">
        <is>
          <t>Pobočja proti Savinjskim Alpam</t>
        </is>
      </c>
      <c r="C8" s="27" t="n"/>
    </row>
    <row r="9">
      <c r="A9" s="25" t="inlineStr">
        <is>
          <t>Karbonatni masivi (Bazična podlaga - 'Kraljestvo Marele in Poletnega gobana')</t>
        </is>
      </c>
    </row>
    <row r="10">
      <c r="B10" s="26" t="inlineStr">
        <is>
          <t>Golte (nad Mozirjem)</t>
        </is>
      </c>
      <c r="C10" s="27" t="n"/>
    </row>
    <row r="11">
      <c r="B11" s="26" t="inlineStr">
        <is>
          <t>Lepenatka</t>
        </is>
      </c>
      <c r="C11" s="27" t="n"/>
    </row>
    <row r="12">
      <c r="B12" s="26" t="inlineStr">
        <is>
          <t>Travnik (pod Raduho)</t>
        </is>
      </c>
      <c r="C12" s="27" t="n"/>
    </row>
    <row r="13">
      <c r="B13" s="26" t="inlineStr">
        <is>
          <t>Menina planina (obrobje)</t>
        </is>
      </c>
      <c r="C13" s="27" t="n"/>
    </row>
    <row r="14">
      <c r="B14" s="26" t="inlineStr">
        <is>
          <t>Dleskovška planota</t>
        </is>
      </c>
      <c r="C14" s="27" t="n"/>
    </row>
    <row r="15">
      <c r="B15" s="26" t="inlineStr">
        <is>
          <t>Gozdovi pod Raduho</t>
        </is>
      </c>
      <c r="C15" s="27" t="n"/>
    </row>
    <row r="16">
      <c r="A16" s="25" t="inlineStr">
        <is>
          <t>Rečni logi in dolinske terase (Vlažna podlaga - 'Kraljestvo Smrčkov in Uhljevk')</t>
        </is>
      </c>
    </row>
    <row r="17">
      <c r="B17" s="26" t="inlineStr">
        <is>
          <t>Obrežje Savinje (Rečica – Ljubno)</t>
        </is>
      </c>
      <c r="C17" s="27" t="n"/>
    </row>
    <row r="18">
      <c r="B18" s="26" t="inlineStr">
        <is>
          <t>Logi ob Dreti (Gornji Grad – Nazarje)</t>
        </is>
      </c>
      <c r="C18" s="27" t="n"/>
    </row>
    <row r="19">
      <c r="B19" s="26" t="inlineStr">
        <is>
          <t>Okolica Mozirskega gaja</t>
        </is>
      </c>
      <c r="C19" s="27" t="n"/>
    </row>
    <row r="20">
      <c r="B20" s="26" t="inlineStr">
        <is>
          <t>Beli potok (soteska)</t>
        </is>
      </c>
      <c r="C20" s="27" t="n"/>
    </row>
    <row r="21">
      <c r="A21" s="25" t="inlineStr">
        <is>
          <t>STROGO ZAŠČITENA OBMOČJA (Nabiranje PREPOVEDANO)</t>
        </is>
      </c>
    </row>
    <row r="22">
      <c r="B22" s="26" t="inlineStr">
        <is>
          <t>Krajinski park Logarska dolina</t>
        </is>
      </c>
      <c r="C22" s="27" t="n"/>
    </row>
    <row r="23">
      <c r="B23" s="26" t="inlineStr">
        <is>
          <t>Robanov kot</t>
        </is>
      </c>
      <c r="C23" s="27" t="n"/>
    </row>
    <row r="24">
      <c r="B24" s="26" t="inlineStr">
        <is>
          <t>Matkov kot</t>
        </is>
      </c>
      <c r="C24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2026-07-16T09:53:48Z</dcterms:created>
  <dcterms:modified xsi:type="dcterms:W3CDTF">2026-08-25T07:57:09Z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42926d7c14bb4e6bbcbd657dd3eb6c5d_23</vt:lpwstr>
  </property>
</Properties>
</file>